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brish\Desktop\Data Science\Excel Project\Hospital Patients Recovery Project\"/>
    </mc:Choice>
  </mc:AlternateContent>
  <xr:revisionPtr revIDLastSave="0" documentId="13_ncr:1_{0162295D-4150-478D-9508-541814827E8D}" xr6:coauthVersionLast="47" xr6:coauthVersionMax="47" xr10:uidLastSave="{00000000-0000-0000-0000-000000000000}"/>
  <bookViews>
    <workbookView xWindow="-120" yWindow="-120" windowWidth="20730" windowHeight="11040" activeTab="2" xr2:uid="{CB679ACF-C440-445C-A378-B587ABFFAC43}"/>
  </bookViews>
  <sheets>
    <sheet name="hospital_patient_treatment_data" sheetId="2" r:id="rId1"/>
    <sheet name="Design_Sheet" sheetId="4" r:id="rId2"/>
    <sheet name="Hospital_Patient_Report" sheetId="7" r:id="rId3"/>
  </sheets>
  <definedNames>
    <definedName name="_xlchart.v1.0" hidden="1">Design_Sheet!$E$100:$E$108</definedName>
    <definedName name="_xlchart.v1.1" hidden="1">Design_Sheet!$F$100:$F$108</definedName>
    <definedName name="_xlchart.v1.2" hidden="1">Design_Sheet!$F$99</definedName>
    <definedName name="_xlchart.v1.6" hidden="1">Design_Sheet!$E$100:$E$108</definedName>
    <definedName name="_xlchart.v1.7" hidden="1">Design_Sheet!$F$100:$F$108</definedName>
    <definedName name="_xlchart.v1.8" hidden="1">Design_Sheet!$F$99</definedName>
    <definedName name="_xlchart.v2.10" hidden="1">Design_Sheet!$E$52</definedName>
    <definedName name="_xlchart.v2.11" hidden="1">Design_Sheet!$E$53:$E$56</definedName>
    <definedName name="_xlchart.v2.3" hidden="1">Design_Sheet!$D$53:$D$56</definedName>
    <definedName name="_xlchart.v2.4" hidden="1">Design_Sheet!$E$52</definedName>
    <definedName name="_xlchart.v2.5" hidden="1">Design_Sheet!$E$53:$E$56</definedName>
    <definedName name="_xlchart.v2.9" hidden="1">Design_Sheet!$D$53:$D$56</definedName>
    <definedName name="ExternalData_1" localSheetId="0" hidden="1">hospital_patient_treatment_data!$A$1:$I$201</definedName>
    <definedName name="Slicer_Department">#N/A</definedName>
    <definedName name="Slicer_Doctor_Name">#N/A</definedName>
    <definedName name="Slicer_Gender">#N/A</definedName>
    <definedName name="Slicer_Treatment_Type">#N/A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F101" i="4"/>
  <c r="F103" i="4"/>
  <c r="F100" i="4"/>
  <c r="E53" i="4"/>
  <c r="B5" i="4"/>
  <c r="E55" i="4"/>
  <c r="F105" i="4"/>
  <c r="F107" i="4"/>
  <c r="E54" i="4"/>
  <c r="F5" i="4"/>
  <c r="C5" i="4"/>
  <c r="F108" i="4"/>
  <c r="F104" i="4"/>
  <c r="F106" i="4"/>
  <c r="E5" i="4"/>
  <c r="F102" i="4"/>
  <c r="E56" i="4"/>
  <c r="D5"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F42394-F8FD-4074-BB64-6A576D7E4E28}" keepAlive="1" name="Query - hospital_patient_treatment_dataset" description="Connection to the 'hospital_patient_treatment_dataset' query in the workbook." type="5" refreshedVersion="8" background="1" saveData="1">
    <dbPr connection="Provider=Microsoft.Mashup.OleDb.1;Data Source=$Workbook$;Location=hospital_patient_treatment_dataset;Extended Properties=&quot;&quot;" command="SELECT * FROM [hospital_patient_treatment_dataset]"/>
  </connection>
</connections>
</file>

<file path=xl/sharedStrings.xml><?xml version="1.0" encoding="utf-8"?>
<sst xmlns="http://schemas.openxmlformats.org/spreadsheetml/2006/main" count="1087" uniqueCount="252">
  <si>
    <t>Patient ID</t>
  </si>
  <si>
    <t>Department</t>
  </si>
  <si>
    <t>Treatment Type</t>
  </si>
  <si>
    <t>Doctor Name</t>
  </si>
  <si>
    <t>Gender</t>
  </si>
  <si>
    <t>Age</t>
  </si>
  <si>
    <t>Treatment Cost</t>
  </si>
  <si>
    <t>Hospital Stay (Days)</t>
  </si>
  <si>
    <t>Recovery Score</t>
  </si>
  <si>
    <t>P1001</t>
  </si>
  <si>
    <t>Gastroenterology</t>
  </si>
  <si>
    <t>Therapy</t>
  </si>
  <si>
    <t>Dr. L. Khan</t>
  </si>
  <si>
    <t>Female</t>
  </si>
  <si>
    <t>P1002</t>
  </si>
  <si>
    <t>Pediatrics</t>
  </si>
  <si>
    <t>Medication</t>
  </si>
  <si>
    <t>Dr. M. Patel</t>
  </si>
  <si>
    <t>Male</t>
  </si>
  <si>
    <t>P1003</t>
  </si>
  <si>
    <t>P1004</t>
  </si>
  <si>
    <t>P1005</t>
  </si>
  <si>
    <t>Orthopedics</t>
  </si>
  <si>
    <t>Dr. T. Mehta</t>
  </si>
  <si>
    <t>P1006</t>
  </si>
  <si>
    <t>Cardiology</t>
  </si>
  <si>
    <t>Dr. A. Sharma</t>
  </si>
  <si>
    <t>P1007</t>
  </si>
  <si>
    <t>Observation</t>
  </si>
  <si>
    <t>Other</t>
  </si>
  <si>
    <t>P1008</t>
  </si>
  <si>
    <t>Neurology</t>
  </si>
  <si>
    <t>Dr. R. Singh</t>
  </si>
  <si>
    <t>P1009</t>
  </si>
  <si>
    <t>P1010</t>
  </si>
  <si>
    <t>P1011</t>
  </si>
  <si>
    <t>Oncology</t>
  </si>
  <si>
    <t>P1012</t>
  </si>
  <si>
    <t>P1013</t>
  </si>
  <si>
    <t>P1014</t>
  </si>
  <si>
    <t>P1015</t>
  </si>
  <si>
    <t>Surgery</t>
  </si>
  <si>
    <t>P1016</t>
  </si>
  <si>
    <t>P1017</t>
  </si>
  <si>
    <t>P1018</t>
  </si>
  <si>
    <t>P1019</t>
  </si>
  <si>
    <t>P1020</t>
  </si>
  <si>
    <t>P1021</t>
  </si>
  <si>
    <t>P1022</t>
  </si>
  <si>
    <t>P1023</t>
  </si>
  <si>
    <t>P1024</t>
  </si>
  <si>
    <t>P1025</t>
  </si>
  <si>
    <t>P1026</t>
  </si>
  <si>
    <t>P1027</t>
  </si>
  <si>
    <t>P1028</t>
  </si>
  <si>
    <t>P1029</t>
  </si>
  <si>
    <t>P1030</t>
  </si>
  <si>
    <t>P1031</t>
  </si>
  <si>
    <t>P1032</t>
  </si>
  <si>
    <t>P1033</t>
  </si>
  <si>
    <t>P1034</t>
  </si>
  <si>
    <t>P1035</t>
  </si>
  <si>
    <t>P1036</t>
  </si>
  <si>
    <t>P1037</t>
  </si>
  <si>
    <t>P1038</t>
  </si>
  <si>
    <t>P1039</t>
  </si>
  <si>
    <t>P1040</t>
  </si>
  <si>
    <t>P1041</t>
  </si>
  <si>
    <t>P1042</t>
  </si>
  <si>
    <t>P1043</t>
  </si>
  <si>
    <t>P1044</t>
  </si>
  <si>
    <t>P1045</t>
  </si>
  <si>
    <t>P1046</t>
  </si>
  <si>
    <t>P1047</t>
  </si>
  <si>
    <t>P1048</t>
  </si>
  <si>
    <t>P1049</t>
  </si>
  <si>
    <t>P1050</t>
  </si>
  <si>
    <t>P1051</t>
  </si>
  <si>
    <t>P1052</t>
  </si>
  <si>
    <t>P1053</t>
  </si>
  <si>
    <t>P1054</t>
  </si>
  <si>
    <t>P1055</t>
  </si>
  <si>
    <t>P1056</t>
  </si>
  <si>
    <t>P1057</t>
  </si>
  <si>
    <t>P1058</t>
  </si>
  <si>
    <t>P1059</t>
  </si>
  <si>
    <t>P1060</t>
  </si>
  <si>
    <t>P1061</t>
  </si>
  <si>
    <t>P1062</t>
  </si>
  <si>
    <t>P1063</t>
  </si>
  <si>
    <t>P1064</t>
  </si>
  <si>
    <t>P1065</t>
  </si>
  <si>
    <t>P1066</t>
  </si>
  <si>
    <t>P1067</t>
  </si>
  <si>
    <t>P1068</t>
  </si>
  <si>
    <t>P1069</t>
  </si>
  <si>
    <t>P1070</t>
  </si>
  <si>
    <t>P1071</t>
  </si>
  <si>
    <t>P1072</t>
  </si>
  <si>
    <t>P1073</t>
  </si>
  <si>
    <t>P1074</t>
  </si>
  <si>
    <t>P1075</t>
  </si>
  <si>
    <t>P1076</t>
  </si>
  <si>
    <t>P1077</t>
  </si>
  <si>
    <t>P1078</t>
  </si>
  <si>
    <t>P1079</t>
  </si>
  <si>
    <t>P1080</t>
  </si>
  <si>
    <t>P1081</t>
  </si>
  <si>
    <t>P1082</t>
  </si>
  <si>
    <t>P1083</t>
  </si>
  <si>
    <t>P1084</t>
  </si>
  <si>
    <t>P1085</t>
  </si>
  <si>
    <t>P1086</t>
  </si>
  <si>
    <t>P1087</t>
  </si>
  <si>
    <t>P1088</t>
  </si>
  <si>
    <t>P1089</t>
  </si>
  <si>
    <t>P1090</t>
  </si>
  <si>
    <t>P1091</t>
  </si>
  <si>
    <t>P1092</t>
  </si>
  <si>
    <t>P1093</t>
  </si>
  <si>
    <t>P1094</t>
  </si>
  <si>
    <t>P1095</t>
  </si>
  <si>
    <t>P1096</t>
  </si>
  <si>
    <t>P1097</t>
  </si>
  <si>
    <t>P1098</t>
  </si>
  <si>
    <t>P1099</t>
  </si>
  <si>
    <t>P1100</t>
  </si>
  <si>
    <t>P1101</t>
  </si>
  <si>
    <t>P1102</t>
  </si>
  <si>
    <t>P1103</t>
  </si>
  <si>
    <t>P1104</t>
  </si>
  <si>
    <t>P1105</t>
  </si>
  <si>
    <t>P1106</t>
  </si>
  <si>
    <t>P1107</t>
  </si>
  <si>
    <t>P1108</t>
  </si>
  <si>
    <t>P1109</t>
  </si>
  <si>
    <t>P1110</t>
  </si>
  <si>
    <t>P1111</t>
  </si>
  <si>
    <t>P1112</t>
  </si>
  <si>
    <t>P1113</t>
  </si>
  <si>
    <t>P1114</t>
  </si>
  <si>
    <t>P1115</t>
  </si>
  <si>
    <t>P1116</t>
  </si>
  <si>
    <t>P1117</t>
  </si>
  <si>
    <t>P1118</t>
  </si>
  <si>
    <t>P1119</t>
  </si>
  <si>
    <t>P1120</t>
  </si>
  <si>
    <t>P1121</t>
  </si>
  <si>
    <t>P1122</t>
  </si>
  <si>
    <t>P1123</t>
  </si>
  <si>
    <t>P1124</t>
  </si>
  <si>
    <t>P1125</t>
  </si>
  <si>
    <t>P1126</t>
  </si>
  <si>
    <t>P1127</t>
  </si>
  <si>
    <t>P1128</t>
  </si>
  <si>
    <t>P1129</t>
  </si>
  <si>
    <t>P1130</t>
  </si>
  <si>
    <t>P1131</t>
  </si>
  <si>
    <t>P1132</t>
  </si>
  <si>
    <t>P1133</t>
  </si>
  <si>
    <t>P1134</t>
  </si>
  <si>
    <t>P1135</t>
  </si>
  <si>
    <t>P1136</t>
  </si>
  <si>
    <t>P1137</t>
  </si>
  <si>
    <t>P1138</t>
  </si>
  <si>
    <t>P1139</t>
  </si>
  <si>
    <t>P1140</t>
  </si>
  <si>
    <t>P1141</t>
  </si>
  <si>
    <t>P1142</t>
  </si>
  <si>
    <t>P1143</t>
  </si>
  <si>
    <t>P1144</t>
  </si>
  <si>
    <t>P1145</t>
  </si>
  <si>
    <t>P1146</t>
  </si>
  <si>
    <t>P1147</t>
  </si>
  <si>
    <t>P1148</t>
  </si>
  <si>
    <t>P1149</t>
  </si>
  <si>
    <t>P1150</t>
  </si>
  <si>
    <t>P1151</t>
  </si>
  <si>
    <t>P1152</t>
  </si>
  <si>
    <t>P1153</t>
  </si>
  <si>
    <t>P1154</t>
  </si>
  <si>
    <t>P1155</t>
  </si>
  <si>
    <t>P1156</t>
  </si>
  <si>
    <t>P1157</t>
  </si>
  <si>
    <t>P1158</t>
  </si>
  <si>
    <t>P1159</t>
  </si>
  <si>
    <t>P1160</t>
  </si>
  <si>
    <t>P1161</t>
  </si>
  <si>
    <t>P1162</t>
  </si>
  <si>
    <t>P1163</t>
  </si>
  <si>
    <t>P1164</t>
  </si>
  <si>
    <t>P1165</t>
  </si>
  <si>
    <t>P1166</t>
  </si>
  <si>
    <t>P1167</t>
  </si>
  <si>
    <t>P1168</t>
  </si>
  <si>
    <t>P1169</t>
  </si>
  <si>
    <t>P1170</t>
  </si>
  <si>
    <t>P1171</t>
  </si>
  <si>
    <t>P1172</t>
  </si>
  <si>
    <t>P1173</t>
  </si>
  <si>
    <t>P1174</t>
  </si>
  <si>
    <t>P1175</t>
  </si>
  <si>
    <t>P1176</t>
  </si>
  <si>
    <t>P1177</t>
  </si>
  <si>
    <t>P1178</t>
  </si>
  <si>
    <t>P1179</t>
  </si>
  <si>
    <t>P1180</t>
  </si>
  <si>
    <t>P1181</t>
  </si>
  <si>
    <t>P1182</t>
  </si>
  <si>
    <t>P1183</t>
  </si>
  <si>
    <t>P1184</t>
  </si>
  <si>
    <t>P1185</t>
  </si>
  <si>
    <t>P1186</t>
  </si>
  <si>
    <t>P1187</t>
  </si>
  <si>
    <t>P1188</t>
  </si>
  <si>
    <t>P1189</t>
  </si>
  <si>
    <t>P1190</t>
  </si>
  <si>
    <t>P1191</t>
  </si>
  <si>
    <t>P1192</t>
  </si>
  <si>
    <t>P1193</t>
  </si>
  <si>
    <t>P1194</t>
  </si>
  <si>
    <t>P1195</t>
  </si>
  <si>
    <t>P1196</t>
  </si>
  <si>
    <t>P1197</t>
  </si>
  <si>
    <t>P1198</t>
  </si>
  <si>
    <t>P1199</t>
  </si>
  <si>
    <t>P1200</t>
  </si>
  <si>
    <t xml:space="preserve">Patient Count </t>
  </si>
  <si>
    <t>Average of Treatment Cost</t>
  </si>
  <si>
    <t>Average of Hospital Stay (Days)</t>
  </si>
  <si>
    <t>Average of Age</t>
  </si>
  <si>
    <t>Average of Recovery Score</t>
  </si>
  <si>
    <t>KPIS</t>
  </si>
  <si>
    <t>Avg Recovery Score</t>
  </si>
  <si>
    <t>Min Recovery Score</t>
  </si>
  <si>
    <t>StdDev Recovery Score</t>
  </si>
  <si>
    <t>Row Labels</t>
  </si>
  <si>
    <t>Average Recovery Score</t>
  </si>
  <si>
    <t>Cost Category</t>
  </si>
  <si>
    <t>High Cost</t>
  </si>
  <si>
    <t>Low Cost</t>
  </si>
  <si>
    <t xml:space="preserve"> </t>
  </si>
  <si>
    <t>Aged Group</t>
  </si>
  <si>
    <t>Adult</t>
  </si>
  <si>
    <t>Child</t>
  </si>
  <si>
    <t>Infant</t>
  </si>
  <si>
    <t>Junior Elderly</t>
  </si>
  <si>
    <t>Middle-Aged</t>
  </si>
  <si>
    <t>Old</t>
  </si>
  <si>
    <t>Oldest</t>
  </si>
  <si>
    <t>Teenager</t>
  </si>
  <si>
    <t>Young Adult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</si>
</sst>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quot;K&quot;"/>
  </numFmts>
  <fonts count="3" x14ac:knownFonts="1">
    <font>
      <sz val="11"/>
      <color theme="1"/>
      <name val="Aptos Narrow"/>
      <family val="2"/>
      <scheme val="minor"/>
    </font>
    <font>
      <b/>
      <sz val="11"/>
      <color theme="1"/>
      <name val="Aptos Narrow"/>
      <family val="2"/>
      <scheme val="minor"/>
    </font>
    <font>
      <b/>
      <sz val="11"/>
      <color theme="0"/>
      <name val="Aptos Narrow"/>
      <family val="2"/>
      <scheme val="minor"/>
    </font>
  </fonts>
  <fills count="5">
    <fill>
      <patternFill patternType="none"/>
    </fill>
    <fill>
      <patternFill patternType="gray125"/>
    </fill>
    <fill>
      <patternFill patternType="solid">
        <fgColor theme="9" tint="0.39997558519241921"/>
        <bgColor indexed="64"/>
      </patternFill>
    </fill>
    <fill>
      <patternFill patternType="solid">
        <fgColor rgb="FF00B050"/>
        <bgColor indexed="64"/>
      </patternFill>
    </fill>
    <fill>
      <patternFill patternType="solid">
        <fgColor theme="0" tint="-0.14999847407452621"/>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8">
    <xf numFmtId="0" fontId="0" fillId="0" borderId="0" xfId="0"/>
    <xf numFmtId="0" fontId="1" fillId="2" borderId="2" xfId="0" applyFont="1" applyFill="1" applyBorder="1"/>
    <xf numFmtId="0" fontId="0" fillId="0" borderId="3" xfId="0" applyBorder="1"/>
    <xf numFmtId="0" fontId="0" fillId="0" borderId="4" xfId="0" applyBorder="1"/>
    <xf numFmtId="0" fontId="0" fillId="0" borderId="5" xfId="0" applyBorder="1"/>
    <xf numFmtId="0" fontId="0" fillId="0" borderId="6" xfId="0" applyBorder="1"/>
    <xf numFmtId="2" fontId="0" fillId="0" borderId="0" xfId="0" applyNumberFormat="1"/>
    <xf numFmtId="0" fontId="0" fillId="0" borderId="7" xfId="0" applyBorder="1"/>
    <xf numFmtId="0" fontId="0" fillId="0" borderId="8" xfId="0" applyBorder="1"/>
    <xf numFmtId="0" fontId="0" fillId="0" borderId="9" xfId="0" applyBorder="1"/>
    <xf numFmtId="0" fontId="0" fillId="0" borderId="0" xfId="0" applyAlignment="1">
      <alignment horizontal="left"/>
    </xf>
    <xf numFmtId="2" fontId="0" fillId="0" borderId="6" xfId="0" applyNumberFormat="1" applyBorder="1"/>
    <xf numFmtId="2" fontId="0" fillId="0" borderId="8" xfId="0" applyNumberFormat="1" applyBorder="1"/>
    <xf numFmtId="2" fontId="0" fillId="0" borderId="9" xfId="0" applyNumberFormat="1" applyBorder="1"/>
    <xf numFmtId="2" fontId="0" fillId="0" borderId="2" xfId="0" applyNumberFormat="1" applyBorder="1"/>
    <xf numFmtId="2" fontId="0" fillId="0" borderId="3" xfId="0" applyNumberFormat="1" applyBorder="1"/>
    <xf numFmtId="2" fontId="0" fillId="0" borderId="4" xfId="0" applyNumberFormat="1" applyBorder="1"/>
    <xf numFmtId="2" fontId="0" fillId="0" borderId="5" xfId="0" applyNumberFormat="1" applyBorder="1"/>
    <xf numFmtId="2" fontId="0" fillId="0" borderId="7" xfId="0" applyNumberFormat="1" applyBorder="1"/>
    <xf numFmtId="0" fontId="0" fillId="0" borderId="1" xfId="0" pivotButton="1" applyBorder="1"/>
    <xf numFmtId="0" fontId="0" fillId="0" borderId="10" xfId="0" applyBorder="1" applyAlignment="1">
      <alignment horizontal="left"/>
    </xf>
    <xf numFmtId="0" fontId="0" fillId="0" borderId="11" xfId="0" applyBorder="1" applyAlignment="1">
      <alignment horizontal="left"/>
    </xf>
    <xf numFmtId="0" fontId="0" fillId="0" borderId="12" xfId="0" applyBorder="1" applyAlignment="1">
      <alignment horizontal="left"/>
    </xf>
    <xf numFmtId="0" fontId="0" fillId="0" borderId="13" xfId="0" applyBorder="1"/>
    <xf numFmtId="0" fontId="0" fillId="0" borderId="14" xfId="0" applyBorder="1"/>
    <xf numFmtId="0" fontId="0" fillId="0" borderId="15" xfId="0" applyBorder="1"/>
    <xf numFmtId="0" fontId="0" fillId="0" borderId="1" xfId="0" applyBorder="1"/>
    <xf numFmtId="0" fontId="1" fillId="2" borderId="0" xfId="0" applyFont="1" applyFill="1"/>
    <xf numFmtId="0" fontId="0" fillId="0" borderId="2" xfId="0" applyBorder="1"/>
    <xf numFmtId="164" fontId="0" fillId="0" borderId="8" xfId="0" applyNumberFormat="1" applyBorder="1"/>
    <xf numFmtId="2" fontId="0" fillId="0" borderId="10" xfId="0" applyNumberFormat="1" applyBorder="1"/>
    <xf numFmtId="2" fontId="0" fillId="0" borderId="11" xfId="0" applyNumberFormat="1" applyBorder="1"/>
    <xf numFmtId="2" fontId="0" fillId="0" borderId="12" xfId="0" applyNumberFormat="1" applyBorder="1"/>
    <xf numFmtId="0" fontId="0" fillId="0" borderId="12" xfId="0" applyBorder="1"/>
    <xf numFmtId="0" fontId="2" fillId="3" borderId="0" xfId="0" applyFont="1" applyFill="1"/>
    <xf numFmtId="0" fontId="0" fillId="0" borderId="12" xfId="0" pivotButton="1" applyBorder="1"/>
    <xf numFmtId="0" fontId="0" fillId="4" borderId="0" xfId="0" applyFill="1"/>
    <xf numFmtId="0" fontId="0" fillId="0" borderId="0" xfId="0" pivotButton="1"/>
  </cellXfs>
  <cellStyles count="1">
    <cellStyle name="Normal" xfId="0" builtinId="0"/>
  </cellStyles>
  <dxfs count="52">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top/>
      </border>
    </dxf>
    <dxf>
      <border>
        <left/>
        <top/>
      </border>
    </dxf>
    <dxf>
      <border>
        <left/>
        <top/>
      </border>
    </dxf>
    <dxf>
      <border>
        <left/>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bottom/>
      </border>
    </dxf>
    <dxf>
      <border>
        <left/>
        <right/>
        <top/>
        <bottom/>
      </border>
    </dxf>
    <dxf>
      <border>
        <left/>
        <right/>
        <top/>
        <bottom/>
      </border>
    </dxf>
    <dxf>
      <border>
        <left/>
        <right/>
        <top/>
        <bottom/>
      </border>
    </dxf>
    <dxf>
      <border>
        <left/>
        <right/>
        <top/>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0"/>
        <color theme="1" tint="4.9989318521683403E-2"/>
      </font>
      <fill>
        <patternFill>
          <fgColor theme="0"/>
          <bgColor theme="0"/>
        </patternFill>
      </fill>
      <border>
        <left style="thin">
          <color auto="1"/>
        </left>
        <right style="thin">
          <color auto="1"/>
        </right>
        <top style="thin">
          <color auto="1"/>
        </top>
        <bottom style="thin">
          <color auto="1"/>
        </bottom>
      </border>
    </dxf>
    <dxf>
      <font>
        <color theme="0"/>
      </font>
      <fill>
        <patternFill>
          <bgColor rgb="FF1C544A"/>
        </patternFill>
      </fill>
      <border>
        <left style="thin">
          <color auto="1"/>
        </left>
        <right style="thin">
          <color auto="1"/>
        </right>
        <top style="thin">
          <color auto="1"/>
        </top>
        <bottom style="thin">
          <color auto="1"/>
        </bottom>
      </border>
    </dxf>
    <dxf>
      <font>
        <b/>
        <i val="0"/>
        <sz val="18"/>
        <color theme="1"/>
      </font>
      <fill>
        <patternFill>
          <fgColor rgb="FF1C544A"/>
        </patternFill>
      </fill>
      <border>
        <left style="thin">
          <color theme="9"/>
        </left>
        <right style="thin">
          <color theme="9"/>
        </right>
        <top style="thin">
          <color theme="9"/>
        </top>
        <bottom style="thin">
          <color theme="9"/>
        </bottom>
        <vertical/>
        <horizontal/>
      </border>
    </dxf>
    <dxf>
      <font>
        <b/>
        <i val="0"/>
        <sz val="18"/>
        <color theme="0"/>
        <name val="Aptos Narrow"/>
        <family val="2"/>
        <scheme val="minor"/>
      </font>
      <border>
        <left style="thin">
          <color theme="9"/>
        </left>
        <right style="thin">
          <color theme="9"/>
        </right>
        <top style="thin">
          <color theme="9"/>
        </top>
        <bottom style="thin">
          <color theme="9"/>
        </bottom>
        <vertical/>
        <horizontal/>
      </border>
    </dxf>
  </dxfs>
  <tableStyles count="3" defaultTableStyle="TableStyleMedium2" defaultPivotStyle="PivotStyleLight16">
    <tableStyle name="Invisible" pivot="0" table="0" count="0" xr9:uid="{1F8F0482-B7C1-42C8-8ACE-BAB9C1863E61}"/>
    <tableStyle name="My...SlicerStyleLight6 2" pivot="0" table="0" count="10" xr9:uid="{E53DEA1D-3409-4226-B35C-6F61F3E255FF}">
      <tableStyleElement type="wholeTable" dxfId="51"/>
      <tableStyleElement type="headerRow" dxfId="50"/>
    </tableStyle>
    <tableStyle name="Slicer Style 1" pivot="0" table="0" count="2" xr9:uid="{532F67CB-3473-476D-BDAB-5D89897B6D56}">
      <tableStyleElement type="wholeTable" dxfId="49"/>
      <tableStyleElement type="headerRow" dxfId="48"/>
    </tableStyle>
  </tableStyles>
  <colors>
    <mruColors>
      <color rgb="FF1C544A"/>
      <color rgb="FF3DB0B3"/>
      <color rgb="FFD7F4FD"/>
      <color rgb="FFDBF9F8"/>
      <color rgb="FFD6FEFA"/>
      <color rgb="FFD3E5F5"/>
      <color rgb="FFD8FCFA"/>
      <color rgb="FF21A38D"/>
    </mruColors>
  </colors>
  <extLst>
    <ext xmlns:x14="http://schemas.microsoft.com/office/spreadsheetml/2009/9/main" uri="{46F421CA-312F-682f-3DD2-61675219B42D}">
      <x14:dxfs count="8">
        <dxf>
          <font>
            <b/>
            <i val="0"/>
            <sz val="1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8"/>
            <color rgb="FF000000"/>
            <name val="Aptos Narrow"/>
            <family val="2"/>
            <scheme val="minor"/>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8"/>
            <color theme="0"/>
            <name val="Aptos Narrow"/>
            <family val="2"/>
            <scheme val="minor"/>
          </font>
          <fill>
            <patternFill patternType="solid">
              <fgColor theme="9" tint="0.79995117038483843"/>
              <bgColor rgb="FF1C544A"/>
            </patternFill>
          </fill>
          <border>
            <left style="thin">
              <color rgb="FFCCCCCC"/>
            </left>
            <right style="thin">
              <color rgb="FFCCCCCC"/>
            </right>
            <top style="thin">
              <color rgb="FFCCCCCC"/>
            </top>
            <bottom style="thin">
              <color rgb="FFCCCCCC"/>
            </bottom>
            <vertical/>
            <horizontal/>
          </border>
        </dxf>
        <dxf>
          <font>
            <b/>
            <i val="0"/>
            <sz val="18"/>
            <color theme="0"/>
            <name val="Aptos Narrow"/>
            <family val="2"/>
            <scheme val="minor"/>
          </font>
          <fill>
            <patternFill patternType="solid">
              <fgColor rgb="FF1C544A"/>
              <bgColor rgb="FF1C544A"/>
            </patternFill>
          </fill>
          <border>
            <left style="thin">
              <color rgb="FF999999"/>
            </left>
            <right style="thin">
              <color rgb="FF999999"/>
            </right>
            <top style="thin">
              <color rgb="FF999999"/>
            </top>
            <bottom style="thin">
              <color rgb="FF999999"/>
            </bottom>
            <vertical/>
            <horizontal/>
          </border>
        </dxf>
        <dxf>
          <font>
            <b/>
            <i val="0"/>
            <sz val="18"/>
            <color rgb="FF828282"/>
            <name val="Aptos Narrow"/>
            <family val="2"/>
            <scheme val="minor"/>
          </font>
          <fill>
            <patternFill patternType="solid">
              <fgColor rgb="FFFFFFFF"/>
              <bgColor theme="9" tint="0.39994506668294322"/>
            </patternFill>
          </fill>
          <border>
            <left style="thin">
              <color rgb="FFE0E0E0"/>
            </left>
            <right style="thin">
              <color rgb="FFE0E0E0"/>
            </right>
            <top style="thin">
              <color rgb="FFE0E0E0"/>
            </top>
            <bottom style="thin">
              <color rgb="FFE0E0E0"/>
            </bottom>
            <vertical/>
            <horizontal/>
          </border>
        </dxf>
        <dxf>
          <font>
            <b/>
            <i val="0"/>
            <sz val="18"/>
            <color rgb="FF000000"/>
            <name val="Aptos Narrow"/>
            <family val="2"/>
            <scheme val="minor"/>
          </font>
          <fill>
            <patternFill patternType="solid">
              <fgColor rgb="FFFFFFFF"/>
              <bgColor theme="0" tint="-0.2499465926084170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StyleLight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[Hospital_Patient_Recovery_Dashboard.xlsx]Design_Sheet!PivotTable2</c:name>
    <c:fmtId val="16"/>
  </c:pivotSource>
  <c:chart>
    <c:autoTitleDeleted val="1"/>
    <c:pivotFmts>
      <c:pivotFmt>
        <c:idx val="0"/>
        <c:spPr>
          <a:solidFill>
            <a:srgbClr val="1C544A"/>
          </a:solidFill>
          <a:ln>
            <a:noFill/>
          </a:ln>
          <a:effectLst>
            <a:outerShdw blurRad="50800" dist="508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Design_Sheet!$C$38</c:f>
              <c:strCache>
                <c:ptCount val="1"/>
                <c:pt idx="0">
                  <c:v>Total</c:v>
                </c:pt>
              </c:strCache>
            </c:strRef>
          </c:tx>
          <c:spPr>
            <a:solidFill>
              <a:srgbClr val="1C544A"/>
            </a:solidFill>
            <a:ln>
              <a:noFill/>
            </a:ln>
            <a:effectLst>
              <a:outerShdw blurRad="50800" dist="50800" dir="5400000" algn="ctr" rotWithShape="0">
                <a:schemeClr val="bg1"/>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Design_Sheet!$B$39:$B$43</c:f>
              <c:strCache>
                <c:ptCount val="5"/>
                <c:pt idx="0">
                  <c:v>Dr. R. Singh</c:v>
                </c:pt>
                <c:pt idx="1">
                  <c:v>Dr. T. Mehta</c:v>
                </c:pt>
                <c:pt idx="2">
                  <c:v>Dr. A. Sharma</c:v>
                </c:pt>
                <c:pt idx="3">
                  <c:v>Dr. L. Khan</c:v>
                </c:pt>
                <c:pt idx="4">
                  <c:v>Dr. M. Patel</c:v>
                </c:pt>
              </c:strCache>
            </c:strRef>
          </c:cat>
          <c:val>
            <c:numRef>
              <c:f>Design_Sheet!$C$39:$C$43</c:f>
              <c:numCache>
                <c:formatCode>0.00</c:formatCode>
                <c:ptCount val="5"/>
                <c:pt idx="0">
                  <c:v>67.75555555555556</c:v>
                </c:pt>
                <c:pt idx="1">
                  <c:v>67.921052631578945</c:v>
                </c:pt>
                <c:pt idx="2">
                  <c:v>70.2</c:v>
                </c:pt>
                <c:pt idx="3">
                  <c:v>72.521739130434781</c:v>
                </c:pt>
                <c:pt idx="4">
                  <c:v>73.243902439024396</c:v>
                </c:pt>
              </c:numCache>
            </c:numRef>
          </c:val>
          <c:extLst>
            <c:ext xmlns:c16="http://schemas.microsoft.com/office/drawing/2014/chart" uri="{C3380CC4-5D6E-409C-BE32-E72D297353CC}">
              <c16:uniqueId val="{00000000-0607-43F6-8A0F-10CA18B7C07F}"/>
            </c:ext>
          </c:extLst>
        </c:ser>
        <c:dLbls>
          <c:showLegendKey val="0"/>
          <c:showVal val="1"/>
          <c:showCatName val="0"/>
          <c:showSerName val="0"/>
          <c:showPercent val="0"/>
          <c:showBubbleSize val="0"/>
        </c:dLbls>
        <c:gapWidth val="110"/>
        <c:gapDepth val="476"/>
        <c:shape val="box"/>
        <c:axId val="1534102192"/>
        <c:axId val="1534104592"/>
        <c:axId val="0"/>
      </c:bar3DChart>
      <c:catAx>
        <c:axId val="15341021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C544A"/>
                </a:solidFill>
                <a:latin typeface="+mn-lt"/>
                <a:ea typeface="+mn-ea"/>
                <a:cs typeface="+mn-cs"/>
              </a:defRPr>
            </a:pPr>
            <a:endParaRPr lang="en-US"/>
          </a:p>
        </c:txPr>
        <c:crossAx val="1534104592"/>
        <c:crosses val="autoZero"/>
        <c:auto val="1"/>
        <c:lblAlgn val="ctr"/>
        <c:lblOffset val="100"/>
        <c:noMultiLvlLbl val="0"/>
      </c:catAx>
      <c:valAx>
        <c:axId val="1534104592"/>
        <c:scaling>
          <c:orientation val="minMax"/>
        </c:scaling>
        <c:delete val="1"/>
        <c:axPos val="b"/>
        <c:numFmt formatCode="0.00" sourceLinked="1"/>
        <c:majorTickMark val="none"/>
        <c:minorTickMark val="none"/>
        <c:tickLblPos val="nextTo"/>
        <c:crossAx val="1534102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77800" dist="508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[Hospital_Patient_Recovery_Dashboard.xlsx]Design_Sheet!PivotTable1</c:name>
    <c:fmtId val="18"/>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1C54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21A38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8FCF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21A38D"/>
          </a:solidFill>
          <a:ln>
            <a:noFill/>
          </a:ln>
          <a:effectLst/>
          <a:sp3d/>
        </c:spPr>
        <c:dLbl>
          <c:idx val="0"/>
          <c:layout>
            <c:manualLayout>
              <c:x val="3.1007751937984496E-2"/>
              <c:y val="-1.7699115044247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1A38D"/>
          </a:solidFill>
          <a:ln>
            <a:noFill/>
          </a:ln>
          <a:effectLst/>
          <a:sp3d/>
        </c:spPr>
        <c:dLbl>
          <c:idx val="0"/>
          <c:layout>
            <c:manualLayout>
              <c:x val="2.0671834625322998E-2"/>
              <c:y val="-1.1799410029498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21A38D"/>
          </a:solidFill>
          <a:ln>
            <a:noFill/>
          </a:ln>
          <a:effectLst/>
          <a:sp3d/>
        </c:spPr>
        <c:dLbl>
          <c:idx val="0"/>
          <c:layout>
            <c:manualLayout>
              <c:x val="2.27390180878552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1A38D"/>
          </a:solidFill>
          <a:ln>
            <a:noFill/>
          </a:ln>
          <a:effectLst/>
          <a:sp3d/>
        </c:spPr>
        <c:dLbl>
          <c:idx val="0"/>
          <c:layout>
            <c:manualLayout>
              <c:x val="2.687338501291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1A38D"/>
          </a:solidFill>
          <a:ln>
            <a:noFill/>
          </a:ln>
          <a:effectLst/>
          <a:sp3d/>
        </c:spPr>
        <c:dLbl>
          <c:idx val="0"/>
          <c:layout>
            <c:manualLayout>
              <c:x val="2.4806201550387558E-2"/>
              <c:y val="-1.1799410029498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1A38D"/>
          </a:solidFill>
          <a:ln>
            <a:noFill/>
          </a:ln>
          <a:effectLst/>
          <a:sp3d/>
        </c:spPr>
        <c:dLbl>
          <c:idx val="0"/>
          <c:layout>
            <c:manualLayout>
              <c:x val="1.86046511627906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D8FCFA"/>
          </a:solidFill>
          <a:ln>
            <a:noFill/>
          </a:ln>
          <a:effectLst/>
          <a:sp3d/>
        </c:spPr>
        <c:dLbl>
          <c:idx val="0"/>
          <c:layout>
            <c:manualLayout>
              <c:x val="2.4806201550387444E-2"/>
              <c:y val="-5.40800045650406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D8FCFA"/>
          </a:solidFill>
          <a:ln>
            <a:noFill/>
          </a:ln>
          <a:effectLst/>
          <a:sp3d/>
        </c:spPr>
        <c:dLbl>
          <c:idx val="0"/>
          <c:layout>
            <c:manualLayout>
              <c:x val="2.8940649860627887E-2"/>
              <c:y val="-5.89970501474926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51937984496118E-2"/>
                  <c:h val="8.8407311917868672E-2"/>
                </c:manualLayout>
              </c15:layout>
            </c:ext>
          </c:extLst>
        </c:dLbl>
      </c:pivotFmt>
      <c:pivotFmt>
        <c:idx val="17"/>
        <c:spPr>
          <a:solidFill>
            <a:srgbClr val="D8FCFA"/>
          </a:solidFill>
          <a:ln>
            <a:noFill/>
          </a:ln>
          <a:effectLst/>
          <a:sp3d/>
        </c:spPr>
        <c:dLbl>
          <c:idx val="0"/>
          <c:layout>
            <c:manualLayout>
              <c:x val="1.8604651162790621E-2"/>
              <c:y val="-1.7699115044247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D8FCFA"/>
          </a:solidFill>
          <a:ln>
            <a:noFill/>
          </a:ln>
          <a:effectLst/>
          <a:sp3d/>
        </c:spPr>
        <c:dLbl>
          <c:idx val="0"/>
          <c:layout>
            <c:manualLayout>
              <c:x val="1.8604651162790697E-2"/>
              <c:y val="-1.7699115044247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D8FCFA"/>
          </a:solidFill>
          <a:ln>
            <a:noFill/>
          </a:ln>
          <a:effectLst/>
          <a:sp3d/>
        </c:spPr>
        <c:dLbl>
          <c:idx val="0"/>
          <c:layout>
            <c:manualLayout>
              <c:x val="1.6537467700258397E-2"/>
              <c:y val="-2.3598820058997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D8FCFA"/>
          </a:solidFill>
          <a:ln>
            <a:noFill/>
          </a:ln>
          <a:effectLst/>
          <a:sp3d/>
        </c:spPr>
        <c:dLbl>
          <c:idx val="0"/>
          <c:layout>
            <c:manualLayout>
              <c:x val="1.2403100775193798E-2"/>
              <c:y val="-5.40800045650406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C54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21A38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21A38D"/>
          </a:solidFill>
          <a:ln>
            <a:noFill/>
          </a:ln>
          <a:effectLst/>
          <a:sp3d/>
        </c:spPr>
        <c:dLbl>
          <c:idx val="0"/>
          <c:layout>
            <c:manualLayout>
              <c:x val="1.86046511627906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21A38D"/>
          </a:solidFill>
          <a:ln>
            <a:noFill/>
          </a:ln>
          <a:effectLst/>
          <a:sp3d/>
        </c:spPr>
        <c:dLbl>
          <c:idx val="0"/>
          <c:layout>
            <c:manualLayout>
              <c:x val="2.4806201550387558E-2"/>
              <c:y val="-1.1799410029498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21A38D"/>
          </a:solidFill>
          <a:ln>
            <a:noFill/>
          </a:ln>
          <a:effectLst/>
          <a:sp3d/>
        </c:spPr>
        <c:dLbl>
          <c:idx val="0"/>
          <c:layout>
            <c:manualLayout>
              <c:x val="3.1007751937984496E-2"/>
              <c:y val="-1.7699115044247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21A38D"/>
          </a:solidFill>
          <a:ln>
            <a:noFill/>
          </a:ln>
          <a:effectLst/>
          <a:sp3d/>
        </c:spPr>
        <c:dLbl>
          <c:idx val="0"/>
          <c:layout>
            <c:manualLayout>
              <c:x val="2.0671834625322998E-2"/>
              <c:y val="-1.1799410029498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21A38D"/>
          </a:solidFill>
          <a:ln>
            <a:noFill/>
          </a:ln>
          <a:effectLst/>
          <a:sp3d/>
        </c:spPr>
        <c:dLbl>
          <c:idx val="0"/>
          <c:layout>
            <c:manualLayout>
              <c:x val="2.27390180878552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21A38D"/>
          </a:solidFill>
          <a:ln>
            <a:noFill/>
          </a:ln>
          <a:effectLst/>
          <a:sp3d/>
        </c:spPr>
        <c:dLbl>
          <c:idx val="0"/>
          <c:layout>
            <c:manualLayout>
              <c:x val="2.687338501291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D8FCF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D8FCFA"/>
          </a:solidFill>
          <a:ln>
            <a:noFill/>
          </a:ln>
          <a:effectLst/>
          <a:sp3d/>
        </c:spPr>
        <c:dLbl>
          <c:idx val="0"/>
          <c:layout>
            <c:manualLayout>
              <c:x val="1.2403100775193798E-2"/>
              <c:y val="-5.40800045650406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D8FCFA"/>
          </a:solidFill>
          <a:ln>
            <a:noFill/>
          </a:ln>
          <a:effectLst/>
          <a:sp3d/>
        </c:spPr>
        <c:dLbl>
          <c:idx val="0"/>
          <c:layout>
            <c:manualLayout>
              <c:x val="1.6537467700258397E-2"/>
              <c:y val="-2.3598820058997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D8FCFA"/>
          </a:solidFill>
          <a:ln>
            <a:noFill/>
          </a:ln>
          <a:effectLst/>
          <a:sp3d/>
        </c:spPr>
        <c:dLbl>
          <c:idx val="0"/>
          <c:layout>
            <c:manualLayout>
              <c:x val="1.8604651162790697E-2"/>
              <c:y val="-1.7699115044247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D8FCFA"/>
          </a:solidFill>
          <a:ln>
            <a:noFill/>
          </a:ln>
          <a:effectLst/>
          <a:sp3d/>
        </c:spPr>
        <c:dLbl>
          <c:idx val="0"/>
          <c:layout>
            <c:manualLayout>
              <c:x val="1.8604651162790621E-2"/>
              <c:y val="-1.7699115044247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D8FCFA"/>
          </a:solidFill>
          <a:ln>
            <a:noFill/>
          </a:ln>
          <a:effectLst/>
          <a:sp3d/>
        </c:spPr>
        <c:dLbl>
          <c:idx val="0"/>
          <c:layout>
            <c:manualLayout>
              <c:x val="2.4806201550387444E-2"/>
              <c:y val="-5.40800045650406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D8FCFA"/>
          </a:solidFill>
          <a:ln>
            <a:noFill/>
          </a:ln>
          <a:effectLst/>
          <a:sp3d/>
        </c:spPr>
        <c:dLbl>
          <c:idx val="0"/>
          <c:layout>
            <c:manualLayout>
              <c:x val="2.8940649860627887E-2"/>
              <c:y val="-5.89970501474926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51937984496118E-2"/>
                  <c:h val="8.8407311917868672E-2"/>
                </c:manualLayout>
              </c15:layout>
            </c:ext>
          </c:extLst>
        </c:dLbl>
      </c:pivotFmt>
      <c:pivotFmt>
        <c:idx val="36"/>
        <c:spPr>
          <a:solidFill>
            <a:srgbClr val="1C544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1A38D"/>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21A38D"/>
          </a:solidFill>
          <a:ln>
            <a:noFill/>
          </a:ln>
          <a:effectLst/>
          <a:sp3d/>
        </c:spPr>
        <c:dLbl>
          <c:idx val="0"/>
          <c:layout>
            <c:manualLayout>
              <c:x val="1.86046511627906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21A38D"/>
          </a:solidFill>
          <a:ln>
            <a:noFill/>
          </a:ln>
          <a:effectLst/>
          <a:sp3d/>
        </c:spPr>
        <c:dLbl>
          <c:idx val="0"/>
          <c:layout>
            <c:manualLayout>
              <c:x val="2.4806201550387558E-2"/>
              <c:y val="-1.1799410029498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21A38D"/>
          </a:solidFill>
          <a:ln>
            <a:noFill/>
          </a:ln>
          <a:effectLst/>
          <a:sp3d/>
        </c:spPr>
        <c:dLbl>
          <c:idx val="0"/>
          <c:layout>
            <c:manualLayout>
              <c:x val="3.1007751937984496E-2"/>
              <c:y val="-1.7699115044247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21A38D"/>
          </a:solidFill>
          <a:ln>
            <a:noFill/>
          </a:ln>
          <a:effectLst/>
          <a:sp3d/>
        </c:spPr>
        <c:dLbl>
          <c:idx val="0"/>
          <c:layout>
            <c:manualLayout>
              <c:x val="2.0671834625322998E-2"/>
              <c:y val="-1.17994100294985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21A38D"/>
          </a:solidFill>
          <a:ln>
            <a:noFill/>
          </a:ln>
          <a:effectLst/>
          <a:sp3d/>
        </c:spPr>
        <c:dLbl>
          <c:idx val="0"/>
          <c:layout>
            <c:manualLayout>
              <c:x val="2.273901808785529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21A38D"/>
          </a:solidFill>
          <a:ln>
            <a:noFill/>
          </a:ln>
          <a:effectLst/>
          <a:sp3d/>
        </c:spPr>
        <c:dLbl>
          <c:idx val="0"/>
          <c:layout>
            <c:manualLayout>
              <c:x val="2.6873385012919897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D8FCFA"/>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D8FCFA"/>
          </a:solidFill>
          <a:ln>
            <a:noFill/>
          </a:ln>
          <a:effectLst/>
          <a:sp3d/>
        </c:spPr>
        <c:dLbl>
          <c:idx val="0"/>
          <c:layout>
            <c:manualLayout>
              <c:x val="1.2403100775193798E-2"/>
              <c:y val="-5.40800045650406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D8FCFA"/>
          </a:solidFill>
          <a:ln>
            <a:noFill/>
          </a:ln>
          <a:effectLst/>
          <a:sp3d/>
        </c:spPr>
        <c:dLbl>
          <c:idx val="0"/>
          <c:layout>
            <c:manualLayout>
              <c:x val="1.6537467700258397E-2"/>
              <c:y val="-2.359882005899710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D8FCFA"/>
          </a:solidFill>
          <a:ln>
            <a:noFill/>
          </a:ln>
          <a:effectLst/>
          <a:sp3d/>
        </c:spPr>
        <c:dLbl>
          <c:idx val="0"/>
          <c:layout>
            <c:manualLayout>
              <c:x val="1.8604651162790697E-2"/>
              <c:y val="-1.769911504424778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D8FCFA"/>
          </a:solidFill>
          <a:ln>
            <a:noFill/>
          </a:ln>
          <a:effectLst/>
          <a:sp3d/>
        </c:spPr>
        <c:dLbl>
          <c:idx val="0"/>
          <c:layout>
            <c:manualLayout>
              <c:x val="1.8604651162790621E-2"/>
              <c:y val="-1.76991150442478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D8FCFA"/>
          </a:solidFill>
          <a:ln>
            <a:noFill/>
          </a:ln>
          <a:effectLst/>
          <a:sp3d/>
        </c:spPr>
        <c:dLbl>
          <c:idx val="0"/>
          <c:layout>
            <c:manualLayout>
              <c:x val="2.4806201550387444E-2"/>
              <c:y val="-5.408000456504067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D8FCFA"/>
          </a:solidFill>
          <a:ln>
            <a:noFill/>
          </a:ln>
          <a:effectLst/>
          <a:sp3d/>
        </c:spPr>
        <c:dLbl>
          <c:idx val="0"/>
          <c:layout>
            <c:manualLayout>
              <c:x val="2.8940649860627887E-2"/>
              <c:y val="-5.89970501474926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51937984496118E-2"/>
                  <c:h val="8.8407311917868672E-2"/>
                </c:manualLayout>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1.6782585705922778E-2"/>
          <c:y val="0.11437202118688232"/>
          <c:w val="0.90340542947193292"/>
          <c:h val="0.51178201946546564"/>
        </c:manualLayout>
      </c:layout>
      <c:bar3DChart>
        <c:barDir val="col"/>
        <c:grouping val="clustered"/>
        <c:varyColors val="0"/>
        <c:ser>
          <c:idx val="0"/>
          <c:order val="0"/>
          <c:tx>
            <c:strRef>
              <c:f>Design_Sheet!$C$22</c:f>
              <c:strCache>
                <c:ptCount val="1"/>
                <c:pt idx="0">
                  <c:v>Avg Recovery Score</c:v>
                </c:pt>
              </c:strCache>
            </c:strRef>
          </c:tx>
          <c:spPr>
            <a:solidFill>
              <a:srgbClr val="1C544A"/>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Design_Sheet!$B$23:$B$28</c:f>
              <c:strCache>
                <c:ptCount val="6"/>
                <c:pt idx="0">
                  <c:v>Cardiology</c:v>
                </c:pt>
                <c:pt idx="1">
                  <c:v>Gastroenterology</c:v>
                </c:pt>
                <c:pt idx="2">
                  <c:v>Neurology</c:v>
                </c:pt>
                <c:pt idx="3">
                  <c:v>Oncology</c:v>
                </c:pt>
                <c:pt idx="4">
                  <c:v>Orthopedics</c:v>
                </c:pt>
                <c:pt idx="5">
                  <c:v>Pediatrics</c:v>
                </c:pt>
              </c:strCache>
            </c:strRef>
          </c:cat>
          <c:val>
            <c:numRef>
              <c:f>Design_Sheet!$C$23:$C$28</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B85A-4F19-8DDB-516FCE8D29CF}"/>
            </c:ext>
          </c:extLst>
        </c:ser>
        <c:ser>
          <c:idx val="1"/>
          <c:order val="1"/>
          <c:tx>
            <c:strRef>
              <c:f>Design_Sheet!$D$22</c:f>
              <c:strCache>
                <c:ptCount val="1"/>
                <c:pt idx="0">
                  <c:v>Min Recovery Score</c:v>
                </c:pt>
              </c:strCache>
            </c:strRef>
          </c:tx>
          <c:spPr>
            <a:solidFill>
              <a:srgbClr val="21A38D"/>
            </a:solidFill>
            <a:ln>
              <a:noFill/>
            </a:ln>
            <a:effectLst/>
            <a:sp3d/>
          </c:spPr>
          <c:invertIfNegative val="0"/>
          <c:dPt>
            <c:idx val="0"/>
            <c:invertIfNegative val="0"/>
            <c:bubble3D val="0"/>
            <c:extLst>
              <c:ext xmlns:c16="http://schemas.microsoft.com/office/drawing/2014/chart" uri="{C3380CC4-5D6E-409C-BE32-E72D297353CC}">
                <c16:uniqueId val="{00000001-B85A-4F19-8DDB-516FCE8D29CF}"/>
              </c:ext>
            </c:extLst>
          </c:dPt>
          <c:dPt>
            <c:idx val="1"/>
            <c:invertIfNegative val="0"/>
            <c:bubble3D val="0"/>
            <c:extLst>
              <c:ext xmlns:c16="http://schemas.microsoft.com/office/drawing/2014/chart" uri="{C3380CC4-5D6E-409C-BE32-E72D297353CC}">
                <c16:uniqueId val="{00000002-B85A-4F19-8DDB-516FCE8D29CF}"/>
              </c:ext>
            </c:extLst>
          </c:dPt>
          <c:dPt>
            <c:idx val="2"/>
            <c:invertIfNegative val="0"/>
            <c:bubble3D val="0"/>
            <c:extLst>
              <c:ext xmlns:c16="http://schemas.microsoft.com/office/drawing/2014/chart" uri="{C3380CC4-5D6E-409C-BE32-E72D297353CC}">
                <c16:uniqueId val="{00000003-B85A-4F19-8DDB-516FCE8D29CF}"/>
              </c:ext>
            </c:extLst>
          </c:dPt>
          <c:dPt>
            <c:idx val="3"/>
            <c:invertIfNegative val="0"/>
            <c:bubble3D val="0"/>
            <c:extLst>
              <c:ext xmlns:c16="http://schemas.microsoft.com/office/drawing/2014/chart" uri="{C3380CC4-5D6E-409C-BE32-E72D297353CC}">
                <c16:uniqueId val="{00000004-B85A-4F19-8DDB-516FCE8D29CF}"/>
              </c:ext>
            </c:extLst>
          </c:dPt>
          <c:dPt>
            <c:idx val="4"/>
            <c:invertIfNegative val="0"/>
            <c:bubble3D val="0"/>
            <c:extLst>
              <c:ext xmlns:c16="http://schemas.microsoft.com/office/drawing/2014/chart" uri="{C3380CC4-5D6E-409C-BE32-E72D297353CC}">
                <c16:uniqueId val="{00000005-B85A-4F19-8DDB-516FCE8D29CF}"/>
              </c:ext>
            </c:extLst>
          </c:dPt>
          <c:dPt>
            <c:idx val="5"/>
            <c:invertIfNegative val="0"/>
            <c:bubble3D val="0"/>
            <c:extLst>
              <c:ext xmlns:c16="http://schemas.microsoft.com/office/drawing/2014/chart" uri="{C3380CC4-5D6E-409C-BE32-E72D297353CC}">
                <c16:uniqueId val="{00000006-B85A-4F19-8DDB-516FCE8D29CF}"/>
              </c:ext>
            </c:extLst>
          </c:dPt>
          <c:dLbls>
            <c:dLbl>
              <c:idx val="0"/>
              <c:layout>
                <c:manualLayout>
                  <c:x val="1.86046511627906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85A-4F19-8DDB-516FCE8D29CF}"/>
                </c:ext>
              </c:extLst>
            </c:dLbl>
            <c:dLbl>
              <c:idx val="1"/>
              <c:layout>
                <c:manualLayout>
                  <c:x val="2.4806201550387558E-2"/>
                  <c:y val="-1.1799410029498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85A-4F19-8DDB-516FCE8D29CF}"/>
                </c:ext>
              </c:extLst>
            </c:dLbl>
            <c:dLbl>
              <c:idx val="2"/>
              <c:layout>
                <c:manualLayout>
                  <c:x val="3.1007751937984496E-2"/>
                  <c:y val="-1.7699115044247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5A-4F19-8DDB-516FCE8D29CF}"/>
                </c:ext>
              </c:extLst>
            </c:dLbl>
            <c:dLbl>
              <c:idx val="3"/>
              <c:layout>
                <c:manualLayout>
                  <c:x val="2.0671834625322998E-2"/>
                  <c:y val="-1.17994100294985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5A-4F19-8DDB-516FCE8D29CF}"/>
                </c:ext>
              </c:extLst>
            </c:dLbl>
            <c:dLbl>
              <c:idx val="4"/>
              <c:layout>
                <c:manualLayout>
                  <c:x val="2.273901808785529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85A-4F19-8DDB-516FCE8D29CF}"/>
                </c:ext>
              </c:extLst>
            </c:dLbl>
            <c:dLbl>
              <c:idx val="5"/>
              <c:layout>
                <c:manualLayout>
                  <c:x val="2.68733850129198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85A-4F19-8DDB-516FCE8D29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Design_Sheet!$B$23:$B$28</c:f>
              <c:strCache>
                <c:ptCount val="6"/>
                <c:pt idx="0">
                  <c:v>Cardiology</c:v>
                </c:pt>
                <c:pt idx="1">
                  <c:v>Gastroenterology</c:v>
                </c:pt>
                <c:pt idx="2">
                  <c:v>Neurology</c:v>
                </c:pt>
                <c:pt idx="3">
                  <c:v>Oncology</c:v>
                </c:pt>
                <c:pt idx="4">
                  <c:v>Orthopedics</c:v>
                </c:pt>
                <c:pt idx="5">
                  <c:v>Pediatrics</c:v>
                </c:pt>
              </c:strCache>
            </c:strRef>
          </c:cat>
          <c:val>
            <c:numRef>
              <c:f>Design_Sheet!$D$23:$D$28</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7-B85A-4F19-8DDB-516FCE8D29CF}"/>
            </c:ext>
          </c:extLst>
        </c:ser>
        <c:ser>
          <c:idx val="2"/>
          <c:order val="2"/>
          <c:tx>
            <c:strRef>
              <c:f>Design_Sheet!$E$22</c:f>
              <c:strCache>
                <c:ptCount val="1"/>
                <c:pt idx="0">
                  <c:v>StdDev Recovery Score</c:v>
                </c:pt>
              </c:strCache>
            </c:strRef>
          </c:tx>
          <c:spPr>
            <a:solidFill>
              <a:srgbClr val="D8FCFA"/>
            </a:solidFill>
            <a:ln>
              <a:noFill/>
            </a:ln>
            <a:effectLst/>
            <a:sp3d/>
          </c:spPr>
          <c:invertIfNegative val="0"/>
          <c:dPt>
            <c:idx val="0"/>
            <c:invertIfNegative val="0"/>
            <c:bubble3D val="0"/>
            <c:extLst>
              <c:ext xmlns:c16="http://schemas.microsoft.com/office/drawing/2014/chart" uri="{C3380CC4-5D6E-409C-BE32-E72D297353CC}">
                <c16:uniqueId val="{00000008-B85A-4F19-8DDB-516FCE8D29CF}"/>
              </c:ext>
            </c:extLst>
          </c:dPt>
          <c:dPt>
            <c:idx val="1"/>
            <c:invertIfNegative val="0"/>
            <c:bubble3D val="0"/>
            <c:extLst>
              <c:ext xmlns:c16="http://schemas.microsoft.com/office/drawing/2014/chart" uri="{C3380CC4-5D6E-409C-BE32-E72D297353CC}">
                <c16:uniqueId val="{00000009-B85A-4F19-8DDB-516FCE8D29CF}"/>
              </c:ext>
            </c:extLst>
          </c:dPt>
          <c:dPt>
            <c:idx val="2"/>
            <c:invertIfNegative val="0"/>
            <c:bubble3D val="0"/>
            <c:extLst>
              <c:ext xmlns:c16="http://schemas.microsoft.com/office/drawing/2014/chart" uri="{C3380CC4-5D6E-409C-BE32-E72D297353CC}">
                <c16:uniqueId val="{0000000A-B85A-4F19-8DDB-516FCE8D29CF}"/>
              </c:ext>
            </c:extLst>
          </c:dPt>
          <c:dPt>
            <c:idx val="3"/>
            <c:invertIfNegative val="0"/>
            <c:bubble3D val="0"/>
            <c:extLst>
              <c:ext xmlns:c16="http://schemas.microsoft.com/office/drawing/2014/chart" uri="{C3380CC4-5D6E-409C-BE32-E72D297353CC}">
                <c16:uniqueId val="{0000000B-B85A-4F19-8DDB-516FCE8D29CF}"/>
              </c:ext>
            </c:extLst>
          </c:dPt>
          <c:dPt>
            <c:idx val="4"/>
            <c:invertIfNegative val="0"/>
            <c:bubble3D val="0"/>
            <c:extLst>
              <c:ext xmlns:c16="http://schemas.microsoft.com/office/drawing/2014/chart" uri="{C3380CC4-5D6E-409C-BE32-E72D297353CC}">
                <c16:uniqueId val="{0000000C-B85A-4F19-8DDB-516FCE8D29CF}"/>
              </c:ext>
            </c:extLst>
          </c:dPt>
          <c:dPt>
            <c:idx val="5"/>
            <c:invertIfNegative val="0"/>
            <c:bubble3D val="0"/>
            <c:extLst>
              <c:ext xmlns:c16="http://schemas.microsoft.com/office/drawing/2014/chart" uri="{C3380CC4-5D6E-409C-BE32-E72D297353CC}">
                <c16:uniqueId val="{0000000D-B85A-4F19-8DDB-516FCE8D29CF}"/>
              </c:ext>
            </c:extLst>
          </c:dPt>
          <c:dLbls>
            <c:dLbl>
              <c:idx val="0"/>
              <c:layout>
                <c:manualLayout>
                  <c:x val="1.2403100775193798E-2"/>
                  <c:y val="-5.408000456504067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5A-4F19-8DDB-516FCE8D29CF}"/>
                </c:ext>
              </c:extLst>
            </c:dLbl>
            <c:dLbl>
              <c:idx val="1"/>
              <c:layout>
                <c:manualLayout>
                  <c:x val="1.6537467700258397E-2"/>
                  <c:y val="-2.3598820058997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85A-4F19-8DDB-516FCE8D29CF}"/>
                </c:ext>
              </c:extLst>
            </c:dLbl>
            <c:dLbl>
              <c:idx val="2"/>
              <c:layout>
                <c:manualLayout>
                  <c:x val="1.8604651162790697E-2"/>
                  <c:y val="-1.769911504424778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B85A-4F19-8DDB-516FCE8D29CF}"/>
                </c:ext>
              </c:extLst>
            </c:dLbl>
            <c:dLbl>
              <c:idx val="3"/>
              <c:layout>
                <c:manualLayout>
                  <c:x val="1.8604651162790621E-2"/>
                  <c:y val="-1.7699115044247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B85A-4F19-8DDB-516FCE8D29CF}"/>
                </c:ext>
              </c:extLst>
            </c:dLbl>
            <c:dLbl>
              <c:idx val="4"/>
              <c:layout>
                <c:manualLayout>
                  <c:x val="2.4806201550387444E-2"/>
                  <c:y val="-5.4080004565040679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B85A-4F19-8DDB-516FCE8D29CF}"/>
                </c:ext>
              </c:extLst>
            </c:dLbl>
            <c:dLbl>
              <c:idx val="5"/>
              <c:layout>
                <c:manualLayout>
                  <c:x val="2.8940649860627887E-2"/>
                  <c:y val="-5.899705014749262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7.9751937984496118E-2"/>
                      <c:h val="8.8407311917868672E-2"/>
                    </c:manualLayout>
                  </c15:layout>
                </c:ext>
                <c:ext xmlns:c16="http://schemas.microsoft.com/office/drawing/2014/chart" uri="{C3380CC4-5D6E-409C-BE32-E72D297353CC}">
                  <c16:uniqueId val="{0000000D-B85A-4F19-8DDB-516FCE8D29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Design_Sheet!$B$23:$B$28</c:f>
              <c:strCache>
                <c:ptCount val="6"/>
                <c:pt idx="0">
                  <c:v>Cardiology</c:v>
                </c:pt>
                <c:pt idx="1">
                  <c:v>Gastroenterology</c:v>
                </c:pt>
                <c:pt idx="2">
                  <c:v>Neurology</c:v>
                </c:pt>
                <c:pt idx="3">
                  <c:v>Oncology</c:v>
                </c:pt>
                <c:pt idx="4">
                  <c:v>Orthopedics</c:v>
                </c:pt>
                <c:pt idx="5">
                  <c:v>Pediatrics</c:v>
                </c:pt>
              </c:strCache>
            </c:strRef>
          </c:cat>
          <c:val>
            <c:numRef>
              <c:f>Design_Sheet!$E$23:$E$28</c:f>
              <c:numCache>
                <c:formatCode>0.00</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E-B85A-4F19-8DDB-516FCE8D29CF}"/>
            </c:ext>
          </c:extLst>
        </c:ser>
        <c:dLbls>
          <c:showLegendKey val="0"/>
          <c:showVal val="0"/>
          <c:showCatName val="0"/>
          <c:showSerName val="0"/>
          <c:showPercent val="0"/>
          <c:showBubbleSize val="0"/>
        </c:dLbls>
        <c:gapWidth val="141"/>
        <c:shape val="box"/>
        <c:axId val="873575487"/>
        <c:axId val="873577887"/>
        <c:axId val="0"/>
      </c:bar3DChart>
      <c:catAx>
        <c:axId val="873575487"/>
        <c:scaling>
          <c:orientation val="minMax"/>
        </c:scaling>
        <c:delete val="0"/>
        <c:axPos val="b"/>
        <c:numFmt formatCode="General" sourceLinked="0"/>
        <c:majorTickMark val="none"/>
        <c:minorTickMark val="none"/>
        <c:tickLblPos val="low"/>
        <c:spPr>
          <a:noFill/>
          <a:ln>
            <a:noFill/>
          </a:ln>
          <a:effectLst/>
        </c:spPr>
        <c:txPr>
          <a:bodyPr rot="-60000000" spcFirstLastPara="1" vertOverflow="ellipsis" vert="horz" wrap="square" anchor="ctr" anchorCtr="1"/>
          <a:lstStyle/>
          <a:p>
            <a:pPr>
              <a:defRPr sz="1050" b="0" i="0" u="none" strike="noStrike" kern="1200" baseline="0">
                <a:solidFill>
                  <a:srgbClr val="1C544A"/>
                </a:solidFill>
                <a:effectLst>
                  <a:outerShdw blurRad="50800" dist="50800" dir="5400000" algn="ctr" rotWithShape="0">
                    <a:srgbClr val="1C544A"/>
                  </a:outerShdw>
                </a:effectLst>
                <a:latin typeface="Abadi" panose="020B0604020104020204" pitchFamily="34" charset="0"/>
                <a:ea typeface="Calibri Light" panose="020F0302020204030204" pitchFamily="34" charset="0"/>
                <a:cs typeface="Calibri Light" panose="020F0302020204030204" pitchFamily="34" charset="0"/>
              </a:defRPr>
            </a:pPr>
            <a:endParaRPr lang="en-US"/>
          </a:p>
        </c:txPr>
        <c:crossAx val="873577887"/>
        <c:crosses val="autoZero"/>
        <c:auto val="0"/>
        <c:lblAlgn val="ctr"/>
        <c:lblOffset val="80"/>
        <c:noMultiLvlLbl val="0"/>
      </c:catAx>
      <c:valAx>
        <c:axId val="873577887"/>
        <c:scaling>
          <c:orientation val="minMax"/>
        </c:scaling>
        <c:delete val="1"/>
        <c:axPos val="l"/>
        <c:numFmt formatCode="0.00" sourceLinked="1"/>
        <c:majorTickMark val="none"/>
        <c:minorTickMark val="none"/>
        <c:tickLblPos val="nextTo"/>
        <c:crossAx val="873575487"/>
        <c:crosses val="autoZero"/>
        <c:crossBetween val="between"/>
      </c:valAx>
      <c:spPr>
        <a:noFill/>
        <a:ln>
          <a:noFill/>
        </a:ln>
        <a:effectLst>
          <a:outerShdw blurRad="25400" dist="50800" dir="5400000" algn="ctr" rotWithShape="0">
            <a:schemeClr val="bg1">
              <a:alpha val="43000"/>
            </a:schemeClr>
          </a:outerShd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88900" dist="38100" dir="5400000" algn="t" rotWithShape="0">
        <a:schemeClr val="bg1">
          <a:alpha val="40000"/>
        </a:schemeClr>
      </a:outerShdw>
    </a:effectLst>
  </c:spPr>
  <c:txPr>
    <a:bodyPr/>
    <a:lstStyle/>
    <a:p>
      <a:pPr>
        <a:defRPr>
          <a:solidFill>
            <a:schemeClr val="tx1">
              <a:lumMod val="95000"/>
              <a:lumOff val="5000"/>
            </a:schemeClr>
          </a:solidFill>
          <a:effectLst>
            <a:outerShdw blurRad="50800" dist="50800" dir="5400000" algn="ctr" rotWithShape="0">
              <a:srgbClr val="1C544A"/>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[Hospital_Patient_Recovery_Dashboard.xlsx]Design_Sheet!PivotTable5</c:name>
    <c:fmtId val="23"/>
  </c:pivotSource>
  <c:chart>
    <c:autoTitleDeleted val="1"/>
    <c:pivotFmts>
      <c:pivotFmt>
        <c:idx val="0"/>
        <c:spPr>
          <a:solidFill>
            <a:schemeClr val="accent1"/>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C544A"/>
          </a:solidFill>
          <a:ln w="19050">
            <a:noFill/>
          </a:ln>
          <a:effectLst>
            <a:outerShdw blurRad="50800" dist="38100" dir="5400000" algn="t" rotWithShape="0">
              <a:prstClr val="black">
                <a:alpha val="40000"/>
              </a:prstClr>
            </a:outerShdw>
          </a:effectLst>
        </c:spPr>
        <c:dLbl>
          <c:idx val="0"/>
          <c:layout>
            <c:manualLayout>
              <c:x val="9.3189964157706102E-3"/>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3DB0B3"/>
          </a:solidFill>
          <a:ln w="19050">
            <a:noFill/>
          </a:ln>
          <a:effectLst>
            <a:outerShdw blurRad="50800" dist="38100" dir="5400000" algn="t" rotWithShape="0">
              <a:prstClr val="black">
                <a:alpha val="40000"/>
              </a:prstClr>
            </a:outerShdw>
          </a:effectLst>
        </c:spPr>
        <c:dLbl>
          <c:idx val="0"/>
          <c:layout>
            <c:manualLayout>
              <c:x val="-1.6039285411904157E-2"/>
              <c:y val="1.1420416557445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D7F4FD"/>
          </a:solidFill>
          <a:ln w="19050">
            <a:noFill/>
          </a:ln>
          <a:effectLst>
            <a:outerShdw blurRad="50800" dist="38100" dir="5400000" algn="t" rotWithShape="0">
              <a:prstClr val="black">
                <a:alpha val="40000"/>
              </a:prstClr>
            </a:outerShdw>
          </a:effectLst>
        </c:spPr>
        <c:dLbl>
          <c:idx val="0"/>
          <c:layout>
            <c:manualLayout>
              <c:x val="-1.5949820788530432E-2"/>
              <c:y val="1.142041655744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C544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239984471394452"/>
          <c:y val="0.25400670027746219"/>
          <c:w val="0.56009452194681453"/>
          <c:h val="0.74599329972253781"/>
        </c:manualLayout>
      </c:layout>
      <c:doughnutChart>
        <c:varyColors val="1"/>
        <c:ser>
          <c:idx val="0"/>
          <c:order val="0"/>
          <c:tx>
            <c:strRef>
              <c:f>Design_Sheet!$C$65</c:f>
              <c:strCache>
                <c:ptCount val="1"/>
                <c:pt idx="0">
                  <c:v>Total</c:v>
                </c:pt>
              </c:strCache>
            </c:strRef>
          </c:tx>
          <c:spPr>
            <a:ln>
              <a:noFill/>
            </a:ln>
            <a:effectLst>
              <a:outerShdw blurRad="50800" dist="38100" dir="5400000" algn="t" rotWithShape="0">
                <a:prstClr val="black">
                  <a:alpha val="40000"/>
                </a:prstClr>
              </a:outerShdw>
            </a:effectLst>
          </c:spPr>
          <c:dPt>
            <c:idx val="0"/>
            <c:bubble3D val="0"/>
            <c:spPr>
              <a:solidFill>
                <a:srgbClr val="1C544A"/>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2-DE8D-4970-A20C-D9A9088AF4DF}"/>
              </c:ext>
            </c:extLst>
          </c:dPt>
          <c:dPt>
            <c:idx val="1"/>
            <c:bubble3D val="0"/>
            <c:spPr>
              <a:solidFill>
                <a:srgbClr val="3DB0B3"/>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DE8D-4970-A20C-D9A9088AF4DF}"/>
              </c:ext>
            </c:extLst>
          </c:dPt>
          <c:dPt>
            <c:idx val="2"/>
            <c:bubble3D val="0"/>
            <c:spPr>
              <a:solidFill>
                <a:srgbClr val="D7F4FD"/>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4-DE8D-4970-A20C-D9A9088AF4DF}"/>
              </c:ext>
            </c:extLst>
          </c:dPt>
          <c:dLbls>
            <c:dLbl>
              <c:idx val="0"/>
              <c:layout>
                <c:manualLayout>
                  <c:x val="9.3189964157706102E-3"/>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DE8D-4970-A20C-D9A9088AF4DF}"/>
                </c:ext>
              </c:extLst>
            </c:dLbl>
            <c:dLbl>
              <c:idx val="1"/>
              <c:layout>
                <c:manualLayout>
                  <c:x val="-1.6039285411904157E-2"/>
                  <c:y val="1.1420416557445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8D-4970-A20C-D9A9088AF4DF}"/>
                </c:ext>
              </c:extLst>
            </c:dLbl>
            <c:dLbl>
              <c:idx val="2"/>
              <c:layout>
                <c:manualLayout>
                  <c:x val="-1.5949820788530432E-2"/>
                  <c:y val="1.142041655744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C544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E8D-4970-A20C-D9A9088AF4D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Design_Sheet!$B$66:$B$68</c:f>
              <c:strCache>
                <c:ptCount val="3"/>
                <c:pt idx="0">
                  <c:v>Female</c:v>
                </c:pt>
                <c:pt idx="1">
                  <c:v>Male</c:v>
                </c:pt>
                <c:pt idx="2">
                  <c:v>Other</c:v>
                </c:pt>
              </c:strCache>
            </c:strRef>
          </c:cat>
          <c:val>
            <c:numRef>
              <c:f>Design_Sheet!$C$66:$C$68</c:f>
              <c:numCache>
                <c:formatCode>0.00</c:formatCode>
                <c:ptCount val="3"/>
                <c:pt idx="0">
                  <c:v>71.614035087719301</c:v>
                </c:pt>
                <c:pt idx="1">
                  <c:v>72.283950617283949</c:v>
                </c:pt>
                <c:pt idx="2">
                  <c:v>66.741935483870961</c:v>
                </c:pt>
              </c:numCache>
            </c:numRef>
          </c:val>
          <c:extLst>
            <c:ext xmlns:c16="http://schemas.microsoft.com/office/drawing/2014/chart" uri="{C3380CC4-5D6E-409C-BE32-E72D297353CC}">
              <c16:uniqueId val="{00000000-DE8D-4970-A20C-D9A9088AF4DF}"/>
            </c:ext>
          </c:extLst>
        </c:ser>
        <c:dLbls>
          <c:showLegendKey val="0"/>
          <c:showVal val="1"/>
          <c:showCatName val="0"/>
          <c:showSerName val="0"/>
          <c:showPercent val="0"/>
          <c:showBubbleSize val="0"/>
          <c:showLeaderLines val="1"/>
        </c:dLbls>
        <c:firstSliceAng val="0"/>
        <c:holeSize val="52"/>
      </c:doughnut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rgbClr val="1C544A"/>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rgbClr val="1C544A"/>
                </a:solidFill>
                <a:latin typeface="+mn-lt"/>
                <a:ea typeface="+mn-ea"/>
                <a:cs typeface="+mn-cs"/>
              </a:defRPr>
            </a:pPr>
            <a:endParaRPr lang="en-US"/>
          </a:p>
        </c:txPr>
      </c:legendEntry>
      <c:legendEntry>
        <c:idx val="2"/>
        <c:txPr>
          <a:bodyPr rot="0" spcFirstLastPara="1" vertOverflow="ellipsis" vert="horz" wrap="square" anchor="ctr" anchorCtr="1"/>
          <a:lstStyle/>
          <a:p>
            <a:pPr>
              <a:defRPr sz="900" b="1" i="0" u="none" strike="noStrike" kern="1200" baseline="0">
                <a:solidFill>
                  <a:srgbClr val="1C544A"/>
                </a:solidFill>
                <a:latin typeface="+mn-lt"/>
                <a:ea typeface="+mn-ea"/>
                <a:cs typeface="+mn-cs"/>
              </a:defRPr>
            </a:pPr>
            <a:endParaRPr lang="en-US"/>
          </a:p>
        </c:txPr>
      </c:legendEntry>
      <c:layout>
        <c:manualLayout>
          <c:xMode val="edge"/>
          <c:yMode val="edge"/>
          <c:x val="0.15845152796414919"/>
          <c:y val="0.14989161844837903"/>
          <c:w val="0.71407212362120331"/>
          <c:h val="0.11206486077208309"/>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1C544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[Hospital_Patient_Recovery_Dashboard.xlsx]Design_Sheet!PivotTable10</c:name>
    <c:fmtId val="25"/>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544A"/>
          </a:solidFill>
          <a:ln w="19050">
            <a:noFill/>
          </a:ln>
          <a:effectLst/>
        </c:spPr>
      </c:pivotFmt>
      <c:pivotFmt>
        <c:idx val="2"/>
        <c:spPr>
          <a:solidFill>
            <a:srgbClr val="3DB0B3"/>
          </a:solidFill>
          <a:ln w="19050">
            <a:noFill/>
          </a:ln>
          <a:effectLst/>
        </c:spPr>
      </c:pivotFmt>
    </c:pivotFmts>
    <c:plotArea>
      <c:layout>
        <c:manualLayout>
          <c:layoutTarget val="inner"/>
          <c:xMode val="edge"/>
          <c:yMode val="edge"/>
          <c:x val="0.19143042239107705"/>
          <c:y val="0.25562559567542142"/>
          <c:w val="0.65301204732935691"/>
          <c:h val="0.72888594347987623"/>
        </c:manualLayout>
      </c:layout>
      <c:pieChart>
        <c:varyColors val="1"/>
        <c:ser>
          <c:idx val="0"/>
          <c:order val="0"/>
          <c:tx>
            <c:strRef>
              <c:f>Design_Sheet!$C$81</c:f>
              <c:strCache>
                <c:ptCount val="1"/>
                <c:pt idx="0">
                  <c:v>Total</c:v>
                </c:pt>
              </c:strCache>
            </c:strRef>
          </c:tx>
          <c:spPr>
            <a:ln>
              <a:noFill/>
            </a:ln>
          </c:spPr>
          <c:dPt>
            <c:idx val="0"/>
            <c:bubble3D val="0"/>
            <c:spPr>
              <a:solidFill>
                <a:srgbClr val="1C544A"/>
              </a:solidFill>
              <a:ln w="19050">
                <a:noFill/>
              </a:ln>
              <a:effectLst/>
            </c:spPr>
            <c:extLst>
              <c:ext xmlns:c16="http://schemas.microsoft.com/office/drawing/2014/chart" uri="{C3380CC4-5D6E-409C-BE32-E72D297353CC}">
                <c16:uniqueId val="{00000003-20F7-4D73-99EC-1EF6E511EC86}"/>
              </c:ext>
            </c:extLst>
          </c:dPt>
          <c:dPt>
            <c:idx val="1"/>
            <c:bubble3D val="0"/>
            <c:spPr>
              <a:solidFill>
                <a:srgbClr val="3DB0B3"/>
              </a:solidFill>
              <a:ln w="19050">
                <a:noFill/>
              </a:ln>
              <a:effectLst/>
            </c:spPr>
            <c:extLst>
              <c:ext xmlns:c16="http://schemas.microsoft.com/office/drawing/2014/chart" uri="{C3380CC4-5D6E-409C-BE32-E72D297353CC}">
                <c16:uniqueId val="{00000004-20F7-4D73-99EC-1EF6E511EC86}"/>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Design_Sheet!$B$82:$B$83</c:f>
              <c:strCache>
                <c:ptCount val="2"/>
                <c:pt idx="0">
                  <c:v>High Cost</c:v>
                </c:pt>
                <c:pt idx="1">
                  <c:v>Low Cost</c:v>
                </c:pt>
              </c:strCache>
            </c:strRef>
          </c:cat>
          <c:val>
            <c:numRef>
              <c:f>Design_Sheet!$C$82:$C$83</c:f>
              <c:numCache>
                <c:formatCode>0.00</c:formatCode>
                <c:ptCount val="2"/>
                <c:pt idx="0">
                  <c:v>72.254716981132077</c:v>
                </c:pt>
                <c:pt idx="1">
                  <c:v>68.255319148936167</c:v>
                </c:pt>
              </c:numCache>
            </c:numRef>
          </c:val>
          <c:extLst>
            <c:ext xmlns:c16="http://schemas.microsoft.com/office/drawing/2014/chart" uri="{C3380CC4-5D6E-409C-BE32-E72D297353CC}">
              <c16:uniqueId val="{00000000-20F7-4D73-99EC-1EF6E511EC86}"/>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rgbClr val="1C544A"/>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rgbClr val="1C544A"/>
                </a:solidFill>
                <a:latin typeface="+mn-lt"/>
                <a:ea typeface="+mn-ea"/>
                <a:cs typeface="+mn-cs"/>
              </a:defRPr>
            </a:pPr>
            <a:endParaRPr lang="en-US"/>
          </a:p>
        </c:txPr>
      </c:legendEntry>
      <c:layout>
        <c:manualLayout>
          <c:xMode val="edge"/>
          <c:yMode val="edge"/>
          <c:x val="0.23354555246367922"/>
          <c:y val="0.13491990802751497"/>
          <c:w val="0.52949306047743572"/>
          <c:h val="8.00011838517817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905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[Hospital_Patient_Recovery_Dashboard.xlsx]Design_Sheet!PivotTable10</c:name>
    <c:fmtId val="30"/>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C544A"/>
          </a:solidFill>
          <a:ln w="19050">
            <a:noFill/>
          </a:ln>
          <a:effectLst/>
        </c:spPr>
      </c:pivotFmt>
      <c:pivotFmt>
        <c:idx val="2"/>
        <c:spPr>
          <a:solidFill>
            <a:srgbClr val="3DB0B3"/>
          </a:solidFill>
          <a:ln w="19050">
            <a:noFill/>
          </a:ln>
          <a:effectLst/>
        </c:spPr>
      </c:pivotFmt>
      <c:pivotFmt>
        <c:idx val="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544A"/>
          </a:solidFill>
          <a:ln w="19050">
            <a:noFill/>
          </a:ln>
          <a:effectLst/>
        </c:spPr>
      </c:pivotFmt>
      <c:pivotFmt>
        <c:idx val="5"/>
        <c:spPr>
          <a:solidFill>
            <a:srgbClr val="3DB0B3"/>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1C544A"/>
          </a:solidFill>
          <a:ln w="19050">
            <a:noFill/>
          </a:ln>
          <a:effectLst/>
        </c:spPr>
      </c:pivotFmt>
      <c:pivotFmt>
        <c:idx val="8"/>
        <c:spPr>
          <a:solidFill>
            <a:srgbClr val="3DB0B3"/>
          </a:solidFill>
          <a:ln w="19050">
            <a:noFill/>
          </a:ln>
          <a:effectLst/>
        </c:spPr>
      </c:pivotFmt>
    </c:pivotFmts>
    <c:plotArea>
      <c:layout>
        <c:manualLayout>
          <c:layoutTarget val="inner"/>
          <c:xMode val="edge"/>
          <c:yMode val="edge"/>
          <c:x val="0.2133768742397692"/>
          <c:y val="0.15278284424527377"/>
          <c:w val="0.58820012213503181"/>
          <c:h val="0.80728570483206996"/>
        </c:manualLayout>
      </c:layout>
      <c:pieChart>
        <c:varyColors val="1"/>
        <c:ser>
          <c:idx val="0"/>
          <c:order val="0"/>
          <c:tx>
            <c:strRef>
              <c:f>Design_Sheet!$C$81</c:f>
              <c:strCache>
                <c:ptCount val="1"/>
                <c:pt idx="0">
                  <c:v>Total</c:v>
                </c:pt>
              </c:strCache>
            </c:strRef>
          </c:tx>
          <c:spPr>
            <a:ln>
              <a:noFill/>
            </a:ln>
          </c:spPr>
          <c:dPt>
            <c:idx val="0"/>
            <c:bubble3D val="0"/>
            <c:spPr>
              <a:solidFill>
                <a:srgbClr val="1C544A"/>
              </a:solidFill>
              <a:ln w="19050">
                <a:noFill/>
              </a:ln>
              <a:effectLst/>
            </c:spPr>
            <c:extLst>
              <c:ext xmlns:c16="http://schemas.microsoft.com/office/drawing/2014/chart" uri="{C3380CC4-5D6E-409C-BE32-E72D297353CC}">
                <c16:uniqueId val="{00000001-BFB9-4370-9750-9271771084CD}"/>
              </c:ext>
            </c:extLst>
          </c:dPt>
          <c:dPt>
            <c:idx val="1"/>
            <c:bubble3D val="0"/>
            <c:spPr>
              <a:solidFill>
                <a:srgbClr val="3DB0B3"/>
              </a:solidFill>
              <a:ln w="19050">
                <a:noFill/>
              </a:ln>
              <a:effectLst/>
            </c:spPr>
            <c:extLst>
              <c:ext xmlns:c16="http://schemas.microsoft.com/office/drawing/2014/chart" uri="{C3380CC4-5D6E-409C-BE32-E72D297353CC}">
                <c16:uniqueId val="{00000003-BFB9-4370-9750-9271771084C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Design_Sheet!$B$82:$B$83</c:f>
              <c:strCache>
                <c:ptCount val="2"/>
                <c:pt idx="0">
                  <c:v>High Cost</c:v>
                </c:pt>
                <c:pt idx="1">
                  <c:v>Low Cost</c:v>
                </c:pt>
              </c:strCache>
            </c:strRef>
          </c:cat>
          <c:val>
            <c:numRef>
              <c:f>Design_Sheet!$C$82:$C$83</c:f>
              <c:numCache>
                <c:formatCode>0.00</c:formatCode>
                <c:ptCount val="2"/>
                <c:pt idx="0">
                  <c:v>72.254716981132077</c:v>
                </c:pt>
                <c:pt idx="1">
                  <c:v>68.255319148936167</c:v>
                </c:pt>
              </c:numCache>
            </c:numRef>
          </c:val>
          <c:extLst>
            <c:ext xmlns:c16="http://schemas.microsoft.com/office/drawing/2014/chart" uri="{C3380CC4-5D6E-409C-BE32-E72D297353CC}">
              <c16:uniqueId val="{00000004-BFB9-4370-9750-9271771084CD}"/>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400" b="1" i="0" u="none" strike="noStrike" kern="1200" baseline="0">
                <a:solidFill>
                  <a:srgbClr val="1C544A"/>
                </a:solidFill>
                <a:latin typeface="+mj-lt"/>
                <a:ea typeface="+mn-ea"/>
                <a:cs typeface="+mn-cs"/>
              </a:defRPr>
            </a:pPr>
            <a:endParaRPr lang="en-US"/>
          </a:p>
        </c:txPr>
      </c:legendEntry>
      <c:legendEntry>
        <c:idx val="1"/>
        <c:txPr>
          <a:bodyPr rot="0" spcFirstLastPara="1" vertOverflow="ellipsis" vert="horz" wrap="square" anchor="ctr" anchorCtr="1"/>
          <a:lstStyle/>
          <a:p>
            <a:pPr>
              <a:defRPr sz="1400" b="1" i="0" u="none" strike="noStrike" kern="1200" baseline="0">
                <a:solidFill>
                  <a:srgbClr val="1C544A"/>
                </a:solidFill>
                <a:latin typeface="+mj-lt"/>
                <a:ea typeface="+mn-ea"/>
                <a:cs typeface="+mn-cs"/>
              </a:defRPr>
            </a:pPr>
            <a:endParaRPr lang="en-US"/>
          </a:p>
        </c:txPr>
      </c:legendEntry>
      <c:layout>
        <c:manualLayout>
          <c:xMode val="edge"/>
          <c:yMode val="edge"/>
          <c:x val="0.75270532086281017"/>
          <c:y val="5.0859528737765079E-2"/>
          <c:w val="0.20207151374716453"/>
          <c:h val="0.1747101813482412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190500" dist="1143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[Hospital_Patient_Recovery_Dashboard.xlsx]Design_Sheet!PivotTable2</c:name>
    <c:fmtId val="28"/>
  </c:pivotSource>
  <c:chart>
    <c:autoTitleDeleted val="1"/>
    <c:pivotFmts>
      <c:pivotFmt>
        <c:idx val="0"/>
        <c:spPr>
          <a:solidFill>
            <a:srgbClr val="1C544A"/>
          </a:solidFill>
          <a:ln>
            <a:noFill/>
          </a:ln>
          <a:effectLst>
            <a:outerShdw blurRad="50800" dist="508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1C544A"/>
          </a:solidFill>
          <a:ln>
            <a:noFill/>
          </a:ln>
          <a:effectLst>
            <a:outerShdw blurRad="50800" dist="508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1C544A"/>
          </a:solidFill>
          <a:ln>
            <a:noFill/>
          </a:ln>
          <a:effectLst>
            <a:outerShdw blurRad="127000" dist="876300" dir="5400000" algn="ctr" rotWithShape="0">
              <a:schemeClr val="bg1"/>
            </a:outerShdw>
          </a:effectLst>
          <a:sp3d/>
        </c:spPr>
        <c:dLbl>
          <c:idx val="0"/>
          <c:spPr>
            <a:noFill/>
            <a:ln>
              <a:noFill/>
            </a:ln>
            <a:effectLst/>
          </c:spPr>
          <c:txPr>
            <a:bodyPr rot="0" spcFirstLastPara="1" vertOverflow="ellipsis" vert="horz" wrap="square" lIns="38100" tIns="19050" rIns="38100" bIns="19050" anchor="ctr" anchorCtr="0">
              <a:spAutoFit/>
            </a:bodyPr>
            <a:lstStyle/>
            <a:p>
              <a:pPr algn="ctr">
                <a:defRPr sz="11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1C544A"/>
          </a:solidFill>
          <a:ln>
            <a:noFill/>
          </a:ln>
          <a:effectLst>
            <a:outerShdw blurRad="127000" dist="876300" dir="5400000" algn="ctr" rotWithShape="0">
              <a:schemeClr val="bg1"/>
            </a:outerShdw>
          </a:effectLst>
          <a:sp3d/>
        </c:spPr>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1C544A"/>
          </a:solidFill>
          <a:ln>
            <a:noFill/>
          </a:ln>
          <a:effectLst>
            <a:outerShdw blurRad="127000" dist="876300" dir="5400000" algn="ctr" rotWithShape="0">
              <a:schemeClr val="bg1"/>
            </a:outerShdw>
          </a:effectLst>
          <a:sp3d/>
        </c:spPr>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1C544A"/>
          </a:solidFill>
          <a:ln>
            <a:noFill/>
          </a:ln>
          <a:effectLst>
            <a:outerShdw blurRad="127000" dist="876300" dir="5400000" algn="ctr" rotWithShape="0">
              <a:schemeClr val="bg1"/>
            </a:outerShdw>
          </a:effectLst>
          <a:sp3d/>
        </c:spPr>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1C544A"/>
          </a:solidFill>
          <a:ln>
            <a:noFill/>
          </a:ln>
          <a:effectLst>
            <a:outerShdw blurRad="127000" dist="876300" dir="5400000" algn="ctr" rotWithShape="0">
              <a:schemeClr val="bg1"/>
            </a:outerShdw>
          </a:effectLst>
          <a:sp3d/>
        </c:spPr>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1C544A"/>
          </a:solidFill>
          <a:ln>
            <a:noFill/>
          </a:ln>
          <a:effectLst>
            <a:outerShdw blurRad="127000" dist="876300" dir="5400000" algn="ctr" rotWithShape="0">
              <a:schemeClr val="bg1"/>
            </a:outerShdw>
          </a:effectLst>
          <a:sp3d/>
        </c:spPr>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1C544A"/>
          </a:solidFill>
          <a:ln>
            <a:noFill/>
          </a:ln>
          <a:effectLst>
            <a:outerShdw blurRad="127000" dist="876300" dir="5400000" algn="ctr" rotWithShape="0">
              <a:schemeClr val="bg1"/>
            </a:outerShdw>
          </a:effectLst>
          <a:sp3d/>
        </c:spPr>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1C544A"/>
          </a:solidFill>
          <a:ln>
            <a:noFill/>
          </a:ln>
          <a:effectLst>
            <a:outerShdw blurRad="127000" dist="876300" dir="5400000" algn="ctr" rotWithShape="0">
              <a:schemeClr val="bg1"/>
            </a:outerShdw>
          </a:effectLst>
          <a:sp3d/>
        </c:spPr>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1C544A"/>
          </a:solidFill>
          <a:ln>
            <a:noFill/>
          </a:ln>
          <a:effectLst>
            <a:outerShdw blurRad="127000" dist="876300" dir="5400000" algn="ctr" rotWithShape="0">
              <a:schemeClr val="bg1"/>
            </a:outerShdw>
          </a:effectLst>
          <a:sp3d/>
        </c:spPr>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1C544A"/>
          </a:solidFill>
          <a:ln>
            <a:noFill/>
          </a:ln>
          <a:effectLst>
            <a:outerShdw blurRad="127000" dist="876300" dir="5400000" algn="ctr" rotWithShape="0">
              <a:schemeClr val="bg1"/>
            </a:outerShdw>
          </a:effectLst>
          <a:sp3d/>
        </c:spPr>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1C544A"/>
          </a:solidFill>
          <a:ln>
            <a:noFill/>
          </a:ln>
          <a:effectLst>
            <a:outerShdw blurRad="127000" dist="876300" dir="5400000" algn="ctr" rotWithShape="0">
              <a:schemeClr val="bg1"/>
            </a:outerShdw>
          </a:effectLst>
          <a:sp3d/>
        </c:spPr>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1C544A"/>
          </a:solidFill>
          <a:ln>
            <a:noFill/>
          </a:ln>
          <a:effectLst>
            <a:outerShdw blurRad="127000" dist="876300" dir="5400000" algn="ctr" rotWithShape="0">
              <a:schemeClr val="bg1"/>
            </a:outerShdw>
          </a:effectLst>
          <a:sp3d/>
        </c:spPr>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1C544A"/>
          </a:solidFill>
          <a:ln>
            <a:noFill/>
          </a:ln>
          <a:effectLst>
            <a:outerShdw blurRad="127000" dist="876300" dir="5400000" algn="ctr" rotWithShape="0">
              <a:schemeClr val="bg1"/>
            </a:outerShdw>
          </a:effectLst>
          <a:sp3d/>
        </c:spPr>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1C544A"/>
          </a:solidFill>
          <a:ln>
            <a:noFill/>
          </a:ln>
          <a:effectLst>
            <a:outerShdw blurRad="127000" dist="876300" dir="5400000" algn="ctr" rotWithShape="0">
              <a:schemeClr val="bg1"/>
            </a:outerShdw>
          </a:effectLst>
          <a:sp3d/>
        </c:spPr>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1C544A"/>
          </a:solidFill>
          <a:ln>
            <a:noFill/>
          </a:ln>
          <a:effectLst>
            <a:outerShdw blurRad="127000" dist="876300" dir="5400000" algn="ctr" rotWithShape="0">
              <a:schemeClr val="bg1"/>
            </a:outerShdw>
          </a:effectLst>
          <a:sp3d/>
        </c:spPr>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1C544A"/>
          </a:solidFill>
          <a:ln>
            <a:noFill/>
          </a:ln>
          <a:effectLst>
            <a:outerShdw blurRad="127000" dist="876300" dir="5400000" algn="ctr" rotWithShape="0">
              <a:schemeClr val="bg1"/>
            </a:outerShdw>
          </a:effectLst>
          <a:sp3d/>
        </c:spPr>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1C544A"/>
          </a:solidFill>
          <a:ln>
            <a:noFill/>
          </a:ln>
          <a:effectLst>
            <a:outerShdw blurRad="127000" dist="876300" dir="5400000" algn="ctr" rotWithShape="0">
              <a:schemeClr val="bg1"/>
            </a:outerShdw>
          </a:effectLst>
          <a:sp3d/>
        </c:spPr>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1C544A"/>
          </a:solidFill>
          <a:ln>
            <a:noFill/>
          </a:ln>
          <a:effectLst>
            <a:outerShdw blurRad="127000" dist="876300" dir="5400000" algn="ctr" rotWithShape="0">
              <a:schemeClr val="bg1"/>
            </a:outerShdw>
          </a:effectLst>
          <a:sp3d/>
        </c:spPr>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1C544A"/>
          </a:solidFill>
          <a:ln>
            <a:noFill/>
          </a:ln>
          <a:effectLst>
            <a:outerShdw blurRad="127000" dist="876300" dir="5400000" algn="ctr" rotWithShape="0">
              <a:schemeClr val="bg1"/>
            </a:outerShdw>
          </a:effectLst>
          <a:sp3d/>
        </c:spPr>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1C544A"/>
          </a:solidFill>
          <a:ln>
            <a:noFill/>
          </a:ln>
          <a:effectLst>
            <a:outerShdw blurRad="127000" dist="876300" dir="5400000" algn="ctr" rotWithShape="0">
              <a:schemeClr val="bg1"/>
            </a:outerShdw>
          </a:effectLst>
          <a:sp3d/>
        </c:spPr>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1C544A"/>
          </a:solidFill>
          <a:ln>
            <a:noFill/>
          </a:ln>
          <a:effectLst>
            <a:outerShdw blurRad="127000" dist="876300" dir="5400000" algn="ctr" rotWithShape="0">
              <a:schemeClr val="bg1"/>
            </a:outerShdw>
          </a:effectLst>
          <a:sp3d/>
        </c:spPr>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1C544A"/>
          </a:solidFill>
          <a:ln>
            <a:noFill/>
          </a:ln>
          <a:effectLst>
            <a:outerShdw blurRad="127000" dist="876300" dir="5400000" algn="ctr" rotWithShape="0">
              <a:schemeClr val="bg1"/>
            </a:outerShdw>
          </a:effectLst>
          <a:sp3d/>
        </c:spPr>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1C544A"/>
          </a:solidFill>
          <a:ln>
            <a:noFill/>
          </a:ln>
          <a:effectLst>
            <a:outerShdw blurRad="127000" dist="876300" dir="5400000" algn="ctr" rotWithShape="0">
              <a:schemeClr val="bg1"/>
            </a:outerShdw>
          </a:effectLst>
          <a:sp3d/>
        </c:spPr>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1C544A"/>
          </a:solidFill>
          <a:ln>
            <a:noFill/>
          </a:ln>
          <a:effectLst>
            <a:outerShdw blurRad="127000" dist="876300" dir="5400000" algn="ctr" rotWithShape="0">
              <a:schemeClr val="bg1"/>
            </a:outerShdw>
          </a:effectLst>
          <a:sp3d/>
        </c:spPr>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1C544A"/>
          </a:solidFill>
          <a:ln>
            <a:noFill/>
          </a:ln>
          <a:effectLst>
            <a:outerShdw blurRad="127000" dist="876300" dir="5400000" algn="ctr" rotWithShape="0">
              <a:schemeClr val="bg1"/>
            </a:outerShdw>
          </a:effectLst>
          <a:sp3d/>
        </c:spPr>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1C544A"/>
          </a:solidFill>
          <a:ln>
            <a:noFill/>
          </a:ln>
          <a:effectLst>
            <a:outerShdw blurRad="127000" dist="876300" dir="5400000" algn="ctr" rotWithShape="0">
              <a:schemeClr val="bg1"/>
            </a:outerShdw>
          </a:effectLst>
          <a:sp3d/>
        </c:spPr>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7"/>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8"/>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0"/>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1"/>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2"/>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3"/>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4"/>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5"/>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6"/>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8"/>
        <c:spPr>
          <a:solidFill>
            <a:srgbClr val="1C544A"/>
          </a:solidFill>
          <a:ln>
            <a:noFill/>
          </a:ln>
          <a:effectLst>
            <a:outerShdw blurRad="127000" dist="876300" dir="5400000" algn="ctr" rotWithShape="0">
              <a:schemeClr val="bg1"/>
            </a:outerShdw>
          </a:effectLst>
          <a:sp3d/>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9"/>
        <c:dLbl>
          <c:idx val="0"/>
          <c:layout>
            <c:manualLayout>
              <c:x val="-0.14607048564035355"/>
              <c:y val="-3.9426521072079956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0"/>
        <c:dLbl>
          <c:idx val="0"/>
          <c:layout>
            <c:manualLayout>
              <c:x val="-0.1162601824484446"/>
              <c:y val="3.9426521072077787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1"/>
        <c:dLbl>
          <c:idx val="0"/>
          <c:layout>
            <c:manualLayout>
              <c:x val="-0.2027100617049804"/>
              <c:y val="-1.5770608428831403E-2"/>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2"/>
        <c:dLbl>
          <c:idx val="0"/>
          <c:layout>
            <c:manualLayout>
              <c:x val="-0.38011305302549736"/>
              <c:y val="-4.0856747077708099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3"/>
        <c:dLbl>
          <c:idx val="0"/>
          <c:layout>
            <c:manualLayout>
              <c:x val="-0.28617891064232531"/>
              <c:y val="-3.9426521072078871E-3"/>
            </c:manualLayout>
          </c:layout>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357911856103608"/>
          <c:y val="0.14187423498915194"/>
          <c:w val="0.82300112659883051"/>
          <c:h val="0.85626688527140593"/>
        </c:manualLayout>
      </c:layout>
      <c:bar3DChart>
        <c:barDir val="bar"/>
        <c:grouping val="clustered"/>
        <c:varyColors val="0"/>
        <c:ser>
          <c:idx val="0"/>
          <c:order val="0"/>
          <c:tx>
            <c:strRef>
              <c:f>Design_Sheet!$C$38</c:f>
              <c:strCache>
                <c:ptCount val="1"/>
                <c:pt idx="0">
                  <c:v>Total</c:v>
                </c:pt>
              </c:strCache>
            </c:strRef>
          </c:tx>
          <c:spPr>
            <a:solidFill>
              <a:srgbClr val="1C544A"/>
            </a:solidFill>
            <a:ln>
              <a:noFill/>
            </a:ln>
            <a:effectLst>
              <a:outerShdw blurRad="127000" dist="876300" dir="5400000" algn="ctr" rotWithShape="0">
                <a:schemeClr val="bg1"/>
              </a:outerShdw>
            </a:effectLst>
            <a:sp3d/>
          </c:spPr>
          <c:invertIfNegative val="0"/>
          <c:dPt>
            <c:idx val="0"/>
            <c:invertIfNegative val="0"/>
            <c:bubble3D val="0"/>
            <c:extLst>
              <c:ext xmlns:c16="http://schemas.microsoft.com/office/drawing/2014/chart" uri="{C3380CC4-5D6E-409C-BE32-E72D297353CC}">
                <c16:uniqueId val="{0000002A-27F6-4341-8A85-040B5DD93BA1}"/>
              </c:ext>
            </c:extLst>
          </c:dPt>
          <c:dPt>
            <c:idx val="1"/>
            <c:invertIfNegative val="0"/>
            <c:bubble3D val="0"/>
            <c:extLst>
              <c:ext xmlns:c16="http://schemas.microsoft.com/office/drawing/2014/chart" uri="{C3380CC4-5D6E-409C-BE32-E72D297353CC}">
                <c16:uniqueId val="{0000002B-27F6-4341-8A85-040B5DD93BA1}"/>
              </c:ext>
            </c:extLst>
          </c:dPt>
          <c:dPt>
            <c:idx val="2"/>
            <c:invertIfNegative val="0"/>
            <c:bubble3D val="0"/>
            <c:extLst>
              <c:ext xmlns:c16="http://schemas.microsoft.com/office/drawing/2014/chart" uri="{C3380CC4-5D6E-409C-BE32-E72D297353CC}">
                <c16:uniqueId val="{0000002C-27F6-4341-8A85-040B5DD93BA1}"/>
              </c:ext>
            </c:extLst>
          </c:dPt>
          <c:dPt>
            <c:idx val="3"/>
            <c:invertIfNegative val="0"/>
            <c:bubble3D val="0"/>
            <c:extLst>
              <c:ext xmlns:c16="http://schemas.microsoft.com/office/drawing/2014/chart" uri="{C3380CC4-5D6E-409C-BE32-E72D297353CC}">
                <c16:uniqueId val="{0000002D-27F6-4341-8A85-040B5DD93BA1}"/>
              </c:ext>
            </c:extLst>
          </c:dPt>
          <c:dPt>
            <c:idx val="4"/>
            <c:invertIfNegative val="0"/>
            <c:bubble3D val="0"/>
            <c:extLst>
              <c:ext xmlns:c16="http://schemas.microsoft.com/office/drawing/2014/chart" uri="{C3380CC4-5D6E-409C-BE32-E72D297353CC}">
                <c16:uniqueId val="{0000002E-27F6-4341-8A85-040B5DD93BA1}"/>
              </c:ext>
            </c:extLst>
          </c:dPt>
          <c:dLbls>
            <c:dLbl>
              <c:idx val="0"/>
              <c:layout>
                <c:manualLayout>
                  <c:x val="-0.14607048564035355"/>
                  <c:y val="-3.942652107207995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A-27F6-4341-8A85-040B5DD93BA1}"/>
                </c:ext>
              </c:extLst>
            </c:dLbl>
            <c:dLbl>
              <c:idx val="1"/>
              <c:layout>
                <c:manualLayout>
                  <c:x val="-0.1162601824484446"/>
                  <c:y val="3.94265210720777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B-27F6-4341-8A85-040B5DD93BA1}"/>
                </c:ext>
              </c:extLst>
            </c:dLbl>
            <c:dLbl>
              <c:idx val="2"/>
              <c:layout>
                <c:manualLayout>
                  <c:x val="-0.2027100617049804"/>
                  <c:y val="-1.57706084288314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C-27F6-4341-8A85-040B5DD93BA1}"/>
                </c:ext>
              </c:extLst>
            </c:dLbl>
            <c:dLbl>
              <c:idx val="3"/>
              <c:layout>
                <c:manualLayout>
                  <c:x val="-0.38011305302549736"/>
                  <c:y val="-4.085674707770809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D-27F6-4341-8A85-040B5DD93BA1}"/>
                </c:ext>
              </c:extLst>
            </c:dLbl>
            <c:dLbl>
              <c:idx val="4"/>
              <c:layout>
                <c:manualLayout>
                  <c:x val="-0.28617891064232531"/>
                  <c:y val="-3.942652107207887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2E-27F6-4341-8A85-040B5DD93BA1}"/>
                </c:ext>
              </c:extLst>
            </c:dLbl>
            <c:spPr>
              <a:noFill/>
              <a:ln>
                <a:noFill/>
              </a:ln>
              <a:effectLst/>
            </c:spPr>
            <c:txPr>
              <a:bodyPr rot="0" spcFirstLastPara="1" vertOverflow="ellipsis" vert="horz" wrap="square" lIns="38100" tIns="19050" rIns="38100" bIns="19050" anchor="ctr" anchorCtr="0">
                <a:spAutoFit/>
              </a:bodyPr>
              <a:lstStyle/>
              <a:p>
                <a:pPr algn="ct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Design_Sheet!$B$39:$B$43</c:f>
              <c:strCache>
                <c:ptCount val="5"/>
                <c:pt idx="0">
                  <c:v>Dr. R. Singh</c:v>
                </c:pt>
                <c:pt idx="1">
                  <c:v>Dr. T. Mehta</c:v>
                </c:pt>
                <c:pt idx="2">
                  <c:v>Dr. A. Sharma</c:v>
                </c:pt>
                <c:pt idx="3">
                  <c:v>Dr. L. Khan</c:v>
                </c:pt>
                <c:pt idx="4">
                  <c:v>Dr. M. Patel</c:v>
                </c:pt>
              </c:strCache>
            </c:strRef>
          </c:cat>
          <c:val>
            <c:numRef>
              <c:f>Design_Sheet!$C$39:$C$43</c:f>
              <c:numCache>
                <c:formatCode>0.00</c:formatCode>
                <c:ptCount val="5"/>
                <c:pt idx="0">
                  <c:v>67.75555555555556</c:v>
                </c:pt>
                <c:pt idx="1">
                  <c:v>67.921052631578945</c:v>
                </c:pt>
                <c:pt idx="2">
                  <c:v>70.2</c:v>
                </c:pt>
                <c:pt idx="3">
                  <c:v>72.521739130434781</c:v>
                </c:pt>
                <c:pt idx="4">
                  <c:v>73.243902439024396</c:v>
                </c:pt>
              </c:numCache>
            </c:numRef>
          </c:val>
          <c:extLst>
            <c:ext xmlns:c16="http://schemas.microsoft.com/office/drawing/2014/chart" uri="{C3380CC4-5D6E-409C-BE32-E72D297353CC}">
              <c16:uniqueId val="{0000002F-27F6-4341-8A85-040B5DD93BA1}"/>
            </c:ext>
          </c:extLst>
        </c:ser>
        <c:dLbls>
          <c:showLegendKey val="0"/>
          <c:showVal val="1"/>
          <c:showCatName val="0"/>
          <c:showSerName val="0"/>
          <c:showPercent val="0"/>
          <c:showBubbleSize val="0"/>
        </c:dLbls>
        <c:gapWidth val="64"/>
        <c:gapDepth val="431"/>
        <c:shape val="box"/>
        <c:axId val="1534102192"/>
        <c:axId val="1534104592"/>
        <c:axId val="0"/>
      </c:bar3DChart>
      <c:catAx>
        <c:axId val="1534102192"/>
        <c:scaling>
          <c:orientation val="minMax"/>
        </c:scaling>
        <c:delete val="0"/>
        <c:axPos val="l"/>
        <c:numFmt formatCode="General" sourceLinked="1"/>
        <c:majorTickMark val="out"/>
        <c:minorTickMark val="none"/>
        <c:tickLblPos val="low"/>
        <c:spPr>
          <a:noFill/>
          <a:ln>
            <a:noFill/>
          </a:ln>
          <a:effectLst/>
        </c:spPr>
        <c:txPr>
          <a:bodyPr rot="-60000" spcFirstLastPara="1" vertOverflow="ellipsis" wrap="square" anchor="t" anchorCtr="0"/>
          <a:lstStyle/>
          <a:p>
            <a:pPr>
              <a:defRPr sz="1400" b="1" i="0" u="none" strike="noStrike" kern="1200" baseline="0">
                <a:ln>
                  <a:noFill/>
                </a:ln>
                <a:solidFill>
                  <a:srgbClr val="1C544A"/>
                </a:solidFill>
                <a:latin typeface="+mn-lt"/>
                <a:ea typeface="+mn-ea"/>
                <a:cs typeface="+mn-cs"/>
              </a:defRPr>
            </a:pPr>
            <a:endParaRPr lang="en-US"/>
          </a:p>
        </c:txPr>
        <c:crossAx val="1534104592"/>
        <c:crosses val="autoZero"/>
        <c:auto val="1"/>
        <c:lblAlgn val="ctr"/>
        <c:lblOffset val="100"/>
        <c:noMultiLvlLbl val="0"/>
      </c:catAx>
      <c:valAx>
        <c:axId val="1534104592"/>
        <c:scaling>
          <c:orientation val="minMax"/>
        </c:scaling>
        <c:delete val="1"/>
        <c:axPos val="b"/>
        <c:numFmt formatCode="0.00" sourceLinked="1"/>
        <c:majorTickMark val="out"/>
        <c:minorTickMark val="none"/>
        <c:tickLblPos val="nextTo"/>
        <c:crossAx val="1534102192"/>
        <c:crosses val="autoZero"/>
        <c:crossBetween val="between"/>
      </c:valAx>
    </c:plotArea>
    <c:plotVisOnly val="1"/>
    <c:dispBlanksAs val="gap"/>
    <c:showDLblsOverMax val="0"/>
    <c:extLst/>
  </c:chart>
  <c:spPr>
    <a:solidFill>
      <a:schemeClr val="bg1"/>
    </a:solidFill>
    <a:ln w="9525" cap="flat" cmpd="sng" algn="ctr">
      <a:solidFill>
        <a:schemeClr val="tx1">
          <a:lumMod val="15000"/>
          <a:lumOff val="85000"/>
        </a:schemeClr>
      </a:solidFill>
      <a:round/>
    </a:ln>
    <a:effectLst>
      <a:outerShdw blurRad="177800" dist="508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[Hospital_Patient_Recovery_Dashboard.xlsx]Design_Sheet!PivotTable1</c:name>
    <c:fmtId val="22"/>
  </c:pivotSource>
  <c:chart>
    <c:autoTitleDeleted val="1"/>
    <c:pivotFmts>
      <c:pivotFmt>
        <c:idx val="0"/>
        <c:spPr>
          <a:solidFill>
            <a:schemeClr val="accent1"/>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rgbClr val="1C544A"/>
          </a:solidFill>
          <a:ln>
            <a:noFill/>
          </a:ln>
          <a:effectLst/>
          <a:sp3d/>
        </c:spPr>
        <c:dLbl>
          <c:idx val="0"/>
          <c:spPr>
            <a:noFill/>
            <a:ln>
              <a:noFill/>
            </a:ln>
            <a:effectLst/>
          </c:spPr>
          <c:txPr>
            <a:bodyPr rot="0" spcFirstLastPara="1" vertOverflow="ellipsis" vert="horz" wrap="square" anchor="ctr" anchorCtr="1"/>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rgbClr val="1C544A"/>
          </a:solidFill>
          <a:ln>
            <a:noFill/>
          </a:ln>
          <a:effectLst/>
          <a:sp3d/>
        </c:spPr>
        <c:dLbl>
          <c:idx val="0"/>
          <c:spPr>
            <a:noFill/>
            <a:ln>
              <a:noFill/>
            </a:ln>
            <a:effectLst/>
          </c:spPr>
          <c:txPr>
            <a:bodyPr rot="0" spcFirstLastPara="1" vertOverflow="ellipsis" vert="horz" wrap="square" anchor="ctr" anchorCtr="1"/>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rgbClr val="21A38D"/>
          </a:solidFill>
          <a:ln>
            <a:noFill/>
          </a:ln>
          <a:effectLst/>
          <a:sp3d/>
        </c:spP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rgbClr val="D8FCFA"/>
          </a:solidFill>
          <a:ln>
            <a:noFill/>
          </a:ln>
          <a:effectLst/>
          <a:sp3d/>
        </c:spPr>
        <c:dLbl>
          <c:idx val="0"/>
          <c:spPr>
            <a:noFill/>
            <a:ln>
              <a:noFill/>
            </a:ln>
            <a:effectLst/>
          </c:spPr>
          <c:txPr>
            <a:bodyPr rot="0" spcFirstLastPara="1" vertOverflow="ellipsis" vert="horz" wrap="square" anchor="ctr" anchorCtr="0"/>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rgbClr val="1C544A"/>
          </a:solidFill>
          <a:ln>
            <a:noFill/>
          </a:ln>
          <a:effectLst/>
          <a:sp3d/>
        </c:spPr>
        <c:marker>
          <c:symbol val="none"/>
        </c:marker>
        <c:dLbl>
          <c:idx val="0"/>
          <c:spPr>
            <a:noFill/>
            <a:ln>
              <a:noFill/>
            </a:ln>
            <a:effectLst/>
          </c:spPr>
          <c:txPr>
            <a:bodyPr rot="0" spcFirstLastPara="1" vertOverflow="ellipsis" vert="horz" wrap="square" anchor="ctr" anchorCtr="1"/>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21A38D"/>
          </a:solidFill>
          <a:ln>
            <a:noFill/>
          </a:ln>
          <a:effectLst/>
          <a:sp3d/>
        </c:spPr>
        <c:marker>
          <c:symbol val="none"/>
        </c:marker>
        <c:dLbl>
          <c:idx val="0"/>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21A38D"/>
          </a:solidFill>
          <a:ln>
            <a:noFill/>
          </a:ln>
          <a:effectLst/>
          <a:sp3d/>
        </c:spPr>
        <c:dLbl>
          <c:idx val="0"/>
          <c:layout>
            <c:manualLayout>
              <c:x val="3.8140257106191212E-2"/>
              <c:y val="-2.8021896795574746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21A38D"/>
          </a:solidFill>
          <a:ln>
            <a:noFill/>
          </a:ln>
          <a:effectLst/>
          <a:sp3d/>
        </c:spPr>
        <c:dLbl>
          <c:idx val="0"/>
          <c:layout>
            <c:manualLayout>
              <c:x val="4.0789796971159323E-2"/>
              <c:y val="-2.230774662027241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21A38D"/>
          </a:solidFill>
          <a:ln>
            <a:noFill/>
          </a:ln>
          <a:effectLst/>
          <a:sp3d/>
        </c:spPr>
        <c:dLbl>
          <c:idx val="0"/>
          <c:layout>
            <c:manualLayout>
              <c:x val="4.5215438901096042E-2"/>
              <c:y val="-2.4704501375720681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21A38D"/>
          </a:solidFill>
          <a:ln>
            <a:noFill/>
          </a:ln>
          <a:effectLst/>
          <a:sp3d/>
        </c:spPr>
        <c:dLbl>
          <c:idx val="0"/>
          <c:layout>
            <c:manualLayout>
              <c:x val="4.9087176392064218E-2"/>
              <c:y val="-2.5810483719719252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21A38D"/>
          </a:solidFill>
          <a:ln>
            <a:noFill/>
          </a:ln>
          <a:effectLst/>
          <a:sp3d/>
        </c:spPr>
        <c:dLbl>
          <c:idx val="0"/>
          <c:layout>
            <c:manualLayout>
              <c:x val="4.7602499939519267E-2"/>
              <c:y val="-3.8530108093915279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21A38D"/>
          </a:solidFill>
          <a:ln>
            <a:noFill/>
          </a:ln>
          <a:effectLst/>
          <a:sp3d/>
        </c:spPr>
        <c:dLbl>
          <c:idx val="0"/>
          <c:layout>
            <c:manualLayout>
              <c:x val="5.1736856096577667E-2"/>
              <c:y val="-3.1524633895021588E-2"/>
            </c:manualLayout>
          </c:layout>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D8FCFA"/>
          </a:solidFill>
          <a:ln>
            <a:noFill/>
          </a:ln>
          <a:effectLst/>
          <a:sp3d/>
        </c:spPr>
        <c:marker>
          <c:symbol val="none"/>
        </c:marker>
        <c:dLbl>
          <c:idx val="0"/>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D8FCFA"/>
          </a:solidFill>
          <a:ln>
            <a:noFill/>
          </a:ln>
          <a:effectLst/>
          <a:sp3d/>
        </c:spPr>
        <c:dLbl>
          <c:idx val="0"/>
          <c:layout>
            <c:manualLayout>
              <c:x val="2.8904222877939176E-2"/>
              <c:y val="-3.8354397044718909E-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D8FCFA"/>
          </a:solidFill>
          <a:ln>
            <a:noFill/>
          </a:ln>
          <a:effectLst/>
          <a:sp3d/>
        </c:spPr>
        <c:dLbl>
          <c:idx val="0"/>
          <c:layout>
            <c:manualLayout>
              <c:x val="3.5101267993778919E-2"/>
              <c:y val="-2.3598826295049877E-2"/>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D8FCFA"/>
          </a:solidFill>
          <a:ln>
            <a:noFill/>
          </a:ln>
          <a:effectLst/>
          <a:sp3d/>
        </c:spPr>
        <c:dLbl>
          <c:idx val="0"/>
          <c:layout>
            <c:manualLayout>
              <c:x val="3.630377669588801E-2"/>
              <c:y val="-1.0464408327555007E-2"/>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D8FCFA"/>
          </a:solidFill>
          <a:ln>
            <a:noFill/>
          </a:ln>
          <a:effectLst/>
          <a:sp3d/>
        </c:spPr>
        <c:dLbl>
          <c:idx val="0"/>
          <c:layout>
            <c:manualLayout>
              <c:x val="2.9624988754282492E-2"/>
              <c:y val="-2.4353976246942147E-2"/>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D8FCFA"/>
          </a:solidFill>
          <a:ln>
            <a:noFill/>
          </a:ln>
          <a:effectLst/>
          <a:sp3d/>
        </c:spPr>
        <c:dLbl>
          <c:idx val="0"/>
          <c:layout>
            <c:manualLayout>
              <c:x val="3.6553647543408473E-2"/>
              <c:y val="-2.8360196146300785E-2"/>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D8FCFA"/>
          </a:solidFill>
          <a:ln>
            <a:noFill/>
          </a:ln>
          <a:effectLst/>
          <a:sp3d/>
        </c:spPr>
        <c:dLbl>
          <c:idx val="0"/>
          <c:layout>
            <c:manualLayout>
              <c:x val="4.7540374384708928E-2"/>
              <c:y val="-7.6424143624672179E-3"/>
            </c:manualLayout>
          </c:layout>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8129866287437561E-2"/>
                  <c:h val="9.2334652622152236E-2"/>
                </c:manualLayout>
              </c15:layout>
            </c:ext>
          </c:extLst>
        </c:dLbl>
      </c:pivotFmt>
    </c:pivotFmts>
    <c:view3D>
      <c:rotX val="15"/>
      <c:rotY val="20"/>
      <c:depthPercent val="100"/>
      <c:rAngAx val="1"/>
    </c:view3D>
    <c:floor>
      <c:thickness val="0"/>
      <c:spPr>
        <a:noFill/>
        <a:ln>
          <a:noFill/>
        </a:ln>
        <a:effectLst/>
        <a:sp3d/>
      </c:spPr>
    </c:floor>
    <c:sideWall>
      <c:thickness val="0"/>
      <c:spPr>
        <a:noFill/>
        <a:ln w="25400">
          <a:noFill/>
        </a:ln>
        <a:effectLst/>
        <a:sp3d/>
      </c:spPr>
    </c:sideWall>
    <c:backWall>
      <c:thickness val="0"/>
      <c:spPr>
        <a:noFill/>
        <a:ln w="25400">
          <a:noFill/>
        </a:ln>
        <a:effectLst/>
        <a:sp3d/>
      </c:spPr>
    </c:backWall>
    <c:plotArea>
      <c:layout>
        <c:manualLayout>
          <c:layoutTarget val="inner"/>
          <c:xMode val="edge"/>
          <c:yMode val="edge"/>
          <c:x val="1.8037683276537694E-3"/>
          <c:y val="0.23459217998828769"/>
          <c:w val="0.998196219143199"/>
          <c:h val="0.59618367881105438"/>
        </c:manualLayout>
      </c:layout>
      <c:bar3DChart>
        <c:barDir val="col"/>
        <c:grouping val="clustered"/>
        <c:varyColors val="0"/>
        <c:ser>
          <c:idx val="0"/>
          <c:order val="0"/>
          <c:tx>
            <c:strRef>
              <c:f>Design_Sheet!$C$22</c:f>
              <c:strCache>
                <c:ptCount val="1"/>
                <c:pt idx="0">
                  <c:v>Avg Recovery Score</c:v>
                </c:pt>
              </c:strCache>
            </c:strRef>
          </c:tx>
          <c:spPr>
            <a:solidFill>
              <a:srgbClr val="1C544A"/>
            </a:solidFill>
            <a:ln>
              <a:noFill/>
            </a:ln>
            <a:effectLst/>
            <a:sp3d/>
          </c:spPr>
          <c:invertIfNegative val="0"/>
          <c:dLbls>
            <c:spPr>
              <a:noFill/>
              <a:ln>
                <a:noFill/>
              </a:ln>
              <a:effectLst/>
            </c:spPr>
            <c:txPr>
              <a:bodyPr rot="0" spcFirstLastPara="1" vertOverflow="ellipsis" vert="horz" wrap="square" anchor="ctr" anchorCtr="1"/>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Design_Sheet!$B$23:$B$28</c:f>
              <c:strCache>
                <c:ptCount val="6"/>
                <c:pt idx="0">
                  <c:v>Cardiology</c:v>
                </c:pt>
                <c:pt idx="1">
                  <c:v>Gastroenterology</c:v>
                </c:pt>
                <c:pt idx="2">
                  <c:v>Neurology</c:v>
                </c:pt>
                <c:pt idx="3">
                  <c:v>Oncology</c:v>
                </c:pt>
                <c:pt idx="4">
                  <c:v>Orthopedics</c:v>
                </c:pt>
                <c:pt idx="5">
                  <c:v>Pediatrics</c:v>
                </c:pt>
              </c:strCache>
            </c:strRef>
          </c:cat>
          <c:val>
            <c:numRef>
              <c:f>Design_Sheet!$C$23:$C$28</c:f>
              <c:numCache>
                <c:formatCode>0.00</c:formatCode>
                <c:ptCount val="6"/>
                <c:pt idx="0">
                  <c:v>70.5</c:v>
                </c:pt>
                <c:pt idx="1">
                  <c:v>71.804878048780495</c:v>
                </c:pt>
                <c:pt idx="2">
                  <c:v>66.392857142857139</c:v>
                </c:pt>
                <c:pt idx="3">
                  <c:v>72.41935483870968</c:v>
                </c:pt>
                <c:pt idx="4">
                  <c:v>67.263157894736835</c:v>
                </c:pt>
                <c:pt idx="5">
                  <c:v>73.131578947368425</c:v>
                </c:pt>
              </c:numCache>
            </c:numRef>
          </c:val>
          <c:extLst>
            <c:ext xmlns:c16="http://schemas.microsoft.com/office/drawing/2014/chart" uri="{C3380CC4-5D6E-409C-BE32-E72D297353CC}">
              <c16:uniqueId val="{00000000-6BE9-4635-9160-6912B06EA552}"/>
            </c:ext>
          </c:extLst>
        </c:ser>
        <c:ser>
          <c:idx val="1"/>
          <c:order val="1"/>
          <c:tx>
            <c:strRef>
              <c:f>Design_Sheet!$D$22</c:f>
              <c:strCache>
                <c:ptCount val="1"/>
                <c:pt idx="0">
                  <c:v>Min Recovery Score</c:v>
                </c:pt>
              </c:strCache>
            </c:strRef>
          </c:tx>
          <c:spPr>
            <a:solidFill>
              <a:srgbClr val="21A38D"/>
            </a:solidFill>
            <a:ln>
              <a:noFill/>
            </a:ln>
            <a:effectLst/>
            <a:sp3d/>
          </c:spPr>
          <c:invertIfNegative val="0"/>
          <c:dPt>
            <c:idx val="0"/>
            <c:invertIfNegative val="0"/>
            <c:bubble3D val="0"/>
            <c:spPr>
              <a:solidFill>
                <a:srgbClr val="21A38D"/>
              </a:solidFill>
              <a:ln>
                <a:noFill/>
              </a:ln>
              <a:effectLst/>
              <a:sp3d/>
            </c:spPr>
            <c:extLst>
              <c:ext xmlns:c16="http://schemas.microsoft.com/office/drawing/2014/chart" uri="{C3380CC4-5D6E-409C-BE32-E72D297353CC}">
                <c16:uniqueId val="{00000001-6BE9-4635-9160-6912B06EA552}"/>
              </c:ext>
            </c:extLst>
          </c:dPt>
          <c:dPt>
            <c:idx val="1"/>
            <c:invertIfNegative val="0"/>
            <c:bubble3D val="0"/>
            <c:spPr>
              <a:solidFill>
                <a:srgbClr val="21A38D"/>
              </a:solidFill>
              <a:ln>
                <a:noFill/>
              </a:ln>
              <a:effectLst/>
              <a:sp3d/>
            </c:spPr>
            <c:extLst>
              <c:ext xmlns:c16="http://schemas.microsoft.com/office/drawing/2014/chart" uri="{C3380CC4-5D6E-409C-BE32-E72D297353CC}">
                <c16:uniqueId val="{00000002-6BE9-4635-9160-6912B06EA552}"/>
              </c:ext>
            </c:extLst>
          </c:dPt>
          <c:dPt>
            <c:idx val="2"/>
            <c:invertIfNegative val="0"/>
            <c:bubble3D val="0"/>
            <c:spPr>
              <a:solidFill>
                <a:srgbClr val="21A38D"/>
              </a:solidFill>
              <a:ln>
                <a:noFill/>
              </a:ln>
              <a:effectLst/>
              <a:sp3d/>
            </c:spPr>
            <c:extLst>
              <c:ext xmlns:c16="http://schemas.microsoft.com/office/drawing/2014/chart" uri="{C3380CC4-5D6E-409C-BE32-E72D297353CC}">
                <c16:uniqueId val="{00000003-6BE9-4635-9160-6912B06EA552}"/>
              </c:ext>
            </c:extLst>
          </c:dPt>
          <c:dPt>
            <c:idx val="3"/>
            <c:invertIfNegative val="0"/>
            <c:bubble3D val="0"/>
            <c:spPr>
              <a:solidFill>
                <a:srgbClr val="21A38D"/>
              </a:solidFill>
              <a:ln>
                <a:noFill/>
              </a:ln>
              <a:effectLst/>
              <a:sp3d/>
            </c:spPr>
            <c:extLst>
              <c:ext xmlns:c16="http://schemas.microsoft.com/office/drawing/2014/chart" uri="{C3380CC4-5D6E-409C-BE32-E72D297353CC}">
                <c16:uniqueId val="{00000004-6BE9-4635-9160-6912B06EA552}"/>
              </c:ext>
            </c:extLst>
          </c:dPt>
          <c:dPt>
            <c:idx val="4"/>
            <c:invertIfNegative val="0"/>
            <c:bubble3D val="0"/>
            <c:spPr>
              <a:solidFill>
                <a:srgbClr val="21A38D"/>
              </a:solidFill>
              <a:ln>
                <a:noFill/>
              </a:ln>
              <a:effectLst/>
              <a:sp3d/>
            </c:spPr>
            <c:extLst>
              <c:ext xmlns:c16="http://schemas.microsoft.com/office/drawing/2014/chart" uri="{C3380CC4-5D6E-409C-BE32-E72D297353CC}">
                <c16:uniqueId val="{00000005-6BE9-4635-9160-6912B06EA552}"/>
              </c:ext>
            </c:extLst>
          </c:dPt>
          <c:dPt>
            <c:idx val="5"/>
            <c:invertIfNegative val="0"/>
            <c:bubble3D val="0"/>
            <c:spPr>
              <a:solidFill>
                <a:srgbClr val="21A38D"/>
              </a:solidFill>
              <a:ln>
                <a:noFill/>
              </a:ln>
              <a:effectLst/>
              <a:sp3d/>
            </c:spPr>
            <c:extLst>
              <c:ext xmlns:c16="http://schemas.microsoft.com/office/drawing/2014/chart" uri="{C3380CC4-5D6E-409C-BE32-E72D297353CC}">
                <c16:uniqueId val="{00000006-6BE9-4635-9160-6912B06EA552}"/>
              </c:ext>
            </c:extLst>
          </c:dPt>
          <c:dLbls>
            <c:dLbl>
              <c:idx val="0"/>
              <c:layout>
                <c:manualLayout>
                  <c:x val="3.8140257106191212E-2"/>
                  <c:y val="-2.80218967955747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BE9-4635-9160-6912B06EA552}"/>
                </c:ext>
              </c:extLst>
            </c:dLbl>
            <c:dLbl>
              <c:idx val="1"/>
              <c:layout>
                <c:manualLayout>
                  <c:x val="4.0789796971159323E-2"/>
                  <c:y val="-2.2307746620272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BE9-4635-9160-6912B06EA552}"/>
                </c:ext>
              </c:extLst>
            </c:dLbl>
            <c:dLbl>
              <c:idx val="2"/>
              <c:layout>
                <c:manualLayout>
                  <c:x val="4.5215438901096042E-2"/>
                  <c:y val="-2.47045013757206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BE9-4635-9160-6912B06EA552}"/>
                </c:ext>
              </c:extLst>
            </c:dLbl>
            <c:dLbl>
              <c:idx val="3"/>
              <c:layout>
                <c:manualLayout>
                  <c:x val="4.9087176392064218E-2"/>
                  <c:y val="-2.5810483719719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BE9-4635-9160-6912B06EA552}"/>
                </c:ext>
              </c:extLst>
            </c:dLbl>
            <c:dLbl>
              <c:idx val="4"/>
              <c:layout>
                <c:manualLayout>
                  <c:x val="4.7602499939519267E-2"/>
                  <c:y val="-3.85301080939152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BE9-4635-9160-6912B06EA552}"/>
                </c:ext>
              </c:extLst>
            </c:dLbl>
            <c:dLbl>
              <c:idx val="5"/>
              <c:layout>
                <c:manualLayout>
                  <c:x val="5.1736856096577667E-2"/>
                  <c:y val="-3.15246338950215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BE9-4635-9160-6912B06EA552}"/>
                </c:ext>
              </c:extLst>
            </c:dLbl>
            <c:spPr>
              <a:noFill/>
              <a:ln>
                <a:noFill/>
              </a:ln>
              <a:effectLst/>
            </c:spPr>
            <c:txPr>
              <a:bodyPr rot="0" spcFirstLastPara="1" vertOverflow="ellipsis" vert="horz" wrap="square" anchor="ctr" anchorCtr="1"/>
              <a:lstStyle/>
              <a:p>
                <a:pP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Design_Sheet!$B$23:$B$28</c:f>
              <c:strCache>
                <c:ptCount val="6"/>
                <c:pt idx="0">
                  <c:v>Cardiology</c:v>
                </c:pt>
                <c:pt idx="1">
                  <c:v>Gastroenterology</c:v>
                </c:pt>
                <c:pt idx="2">
                  <c:v>Neurology</c:v>
                </c:pt>
                <c:pt idx="3">
                  <c:v>Oncology</c:v>
                </c:pt>
                <c:pt idx="4">
                  <c:v>Orthopedics</c:v>
                </c:pt>
                <c:pt idx="5">
                  <c:v>Pediatrics</c:v>
                </c:pt>
              </c:strCache>
            </c:strRef>
          </c:cat>
          <c:val>
            <c:numRef>
              <c:f>Design_Sheet!$D$23:$D$28</c:f>
              <c:numCache>
                <c:formatCode>0.00</c:formatCode>
                <c:ptCount val="6"/>
                <c:pt idx="0">
                  <c:v>41</c:v>
                </c:pt>
                <c:pt idx="1">
                  <c:v>40</c:v>
                </c:pt>
                <c:pt idx="2">
                  <c:v>40</c:v>
                </c:pt>
                <c:pt idx="3">
                  <c:v>41</c:v>
                </c:pt>
                <c:pt idx="4">
                  <c:v>40</c:v>
                </c:pt>
                <c:pt idx="5">
                  <c:v>42</c:v>
                </c:pt>
              </c:numCache>
            </c:numRef>
          </c:val>
          <c:extLst>
            <c:ext xmlns:c16="http://schemas.microsoft.com/office/drawing/2014/chart" uri="{C3380CC4-5D6E-409C-BE32-E72D297353CC}">
              <c16:uniqueId val="{00000007-6BE9-4635-9160-6912B06EA552}"/>
            </c:ext>
          </c:extLst>
        </c:ser>
        <c:ser>
          <c:idx val="2"/>
          <c:order val="2"/>
          <c:tx>
            <c:strRef>
              <c:f>Design_Sheet!$E$22</c:f>
              <c:strCache>
                <c:ptCount val="1"/>
                <c:pt idx="0">
                  <c:v>StdDev Recovery Score</c:v>
                </c:pt>
              </c:strCache>
            </c:strRef>
          </c:tx>
          <c:spPr>
            <a:solidFill>
              <a:srgbClr val="D8FCFA"/>
            </a:solidFill>
            <a:ln>
              <a:noFill/>
            </a:ln>
            <a:effectLst/>
            <a:sp3d/>
          </c:spPr>
          <c:invertIfNegative val="0"/>
          <c:dPt>
            <c:idx val="0"/>
            <c:invertIfNegative val="0"/>
            <c:bubble3D val="0"/>
            <c:spPr>
              <a:solidFill>
                <a:srgbClr val="D8FCFA"/>
              </a:solidFill>
              <a:ln>
                <a:noFill/>
              </a:ln>
              <a:effectLst/>
              <a:sp3d/>
            </c:spPr>
            <c:extLst>
              <c:ext xmlns:c16="http://schemas.microsoft.com/office/drawing/2014/chart" uri="{C3380CC4-5D6E-409C-BE32-E72D297353CC}">
                <c16:uniqueId val="{00000008-6BE9-4635-9160-6912B06EA552}"/>
              </c:ext>
            </c:extLst>
          </c:dPt>
          <c:dPt>
            <c:idx val="1"/>
            <c:invertIfNegative val="0"/>
            <c:bubble3D val="0"/>
            <c:spPr>
              <a:solidFill>
                <a:srgbClr val="D8FCFA"/>
              </a:solidFill>
              <a:ln>
                <a:noFill/>
              </a:ln>
              <a:effectLst/>
              <a:sp3d/>
            </c:spPr>
            <c:extLst>
              <c:ext xmlns:c16="http://schemas.microsoft.com/office/drawing/2014/chart" uri="{C3380CC4-5D6E-409C-BE32-E72D297353CC}">
                <c16:uniqueId val="{00000009-6BE9-4635-9160-6912B06EA552}"/>
              </c:ext>
            </c:extLst>
          </c:dPt>
          <c:dPt>
            <c:idx val="2"/>
            <c:invertIfNegative val="0"/>
            <c:bubble3D val="0"/>
            <c:spPr>
              <a:solidFill>
                <a:srgbClr val="D8FCFA"/>
              </a:solidFill>
              <a:ln>
                <a:noFill/>
              </a:ln>
              <a:effectLst/>
              <a:sp3d/>
            </c:spPr>
            <c:extLst>
              <c:ext xmlns:c16="http://schemas.microsoft.com/office/drawing/2014/chart" uri="{C3380CC4-5D6E-409C-BE32-E72D297353CC}">
                <c16:uniqueId val="{0000000A-6BE9-4635-9160-6912B06EA552}"/>
              </c:ext>
            </c:extLst>
          </c:dPt>
          <c:dPt>
            <c:idx val="3"/>
            <c:invertIfNegative val="0"/>
            <c:bubble3D val="0"/>
            <c:spPr>
              <a:solidFill>
                <a:srgbClr val="D8FCFA"/>
              </a:solidFill>
              <a:ln>
                <a:noFill/>
              </a:ln>
              <a:effectLst/>
              <a:sp3d/>
            </c:spPr>
            <c:extLst>
              <c:ext xmlns:c16="http://schemas.microsoft.com/office/drawing/2014/chart" uri="{C3380CC4-5D6E-409C-BE32-E72D297353CC}">
                <c16:uniqueId val="{0000000B-6BE9-4635-9160-6912B06EA552}"/>
              </c:ext>
            </c:extLst>
          </c:dPt>
          <c:dPt>
            <c:idx val="4"/>
            <c:invertIfNegative val="0"/>
            <c:bubble3D val="0"/>
            <c:spPr>
              <a:solidFill>
                <a:srgbClr val="D8FCFA"/>
              </a:solidFill>
              <a:ln>
                <a:noFill/>
              </a:ln>
              <a:effectLst/>
              <a:sp3d/>
            </c:spPr>
            <c:extLst>
              <c:ext xmlns:c16="http://schemas.microsoft.com/office/drawing/2014/chart" uri="{C3380CC4-5D6E-409C-BE32-E72D297353CC}">
                <c16:uniqueId val="{0000000C-6BE9-4635-9160-6912B06EA552}"/>
              </c:ext>
            </c:extLst>
          </c:dPt>
          <c:dPt>
            <c:idx val="5"/>
            <c:invertIfNegative val="0"/>
            <c:bubble3D val="0"/>
            <c:spPr>
              <a:solidFill>
                <a:srgbClr val="D8FCFA"/>
              </a:solidFill>
              <a:ln>
                <a:noFill/>
              </a:ln>
              <a:effectLst/>
              <a:sp3d/>
            </c:spPr>
            <c:extLst>
              <c:ext xmlns:c16="http://schemas.microsoft.com/office/drawing/2014/chart" uri="{C3380CC4-5D6E-409C-BE32-E72D297353CC}">
                <c16:uniqueId val="{0000000D-6BE9-4635-9160-6912B06EA552}"/>
              </c:ext>
            </c:extLst>
          </c:dPt>
          <c:dLbls>
            <c:dLbl>
              <c:idx val="0"/>
              <c:layout>
                <c:manualLayout>
                  <c:x val="2.8904222877939176E-2"/>
                  <c:y val="-3.8354397044718909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BE9-4635-9160-6912B06EA552}"/>
                </c:ext>
              </c:extLst>
            </c:dLbl>
            <c:dLbl>
              <c:idx val="1"/>
              <c:layout>
                <c:manualLayout>
                  <c:x val="3.5101267993778919E-2"/>
                  <c:y val="-2.35988262950498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6BE9-4635-9160-6912B06EA552}"/>
                </c:ext>
              </c:extLst>
            </c:dLbl>
            <c:dLbl>
              <c:idx val="2"/>
              <c:layout>
                <c:manualLayout>
                  <c:x val="3.630377669588801E-2"/>
                  <c:y val="-1.0464408327555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BE9-4635-9160-6912B06EA552}"/>
                </c:ext>
              </c:extLst>
            </c:dLbl>
            <c:dLbl>
              <c:idx val="3"/>
              <c:layout>
                <c:manualLayout>
                  <c:x val="2.9624988754282492E-2"/>
                  <c:y val="-2.4353976246942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BE9-4635-9160-6912B06EA552}"/>
                </c:ext>
              </c:extLst>
            </c:dLbl>
            <c:dLbl>
              <c:idx val="4"/>
              <c:layout>
                <c:manualLayout>
                  <c:x val="3.6553647543408473E-2"/>
                  <c:y val="-2.83601961463007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6BE9-4635-9160-6912B06EA552}"/>
                </c:ext>
              </c:extLst>
            </c:dLbl>
            <c:dLbl>
              <c:idx val="5"/>
              <c:layout>
                <c:manualLayout>
                  <c:x val="4.7540374384708928E-2"/>
                  <c:y val="-7.6424143624672179E-3"/>
                </c:manualLayout>
              </c:layout>
              <c:showLegendKey val="0"/>
              <c:showVal val="1"/>
              <c:showCatName val="0"/>
              <c:showSerName val="0"/>
              <c:showPercent val="0"/>
              <c:showBubbleSize val="0"/>
              <c:extLst>
                <c:ext xmlns:c15="http://schemas.microsoft.com/office/drawing/2012/chart" uri="{CE6537A1-D6FC-4f65-9D91-7224C49458BB}">
                  <c15:layout>
                    <c:manualLayout>
                      <c:w val="8.8129866287437561E-2"/>
                      <c:h val="9.2334652622152236E-2"/>
                    </c:manualLayout>
                  </c15:layout>
                </c:ext>
                <c:ext xmlns:c16="http://schemas.microsoft.com/office/drawing/2014/chart" uri="{C3380CC4-5D6E-409C-BE32-E72D297353CC}">
                  <c16:uniqueId val="{0000000D-6BE9-4635-9160-6912B06EA552}"/>
                </c:ext>
              </c:extLst>
            </c:dLbl>
            <c:spPr>
              <a:noFill/>
              <a:ln>
                <a:noFill/>
              </a:ln>
              <a:effectLst/>
            </c:spPr>
            <c:txPr>
              <a:bodyPr rot="0" spcFirstLastPara="1" vertOverflow="ellipsis" vert="horz" wrap="square" anchor="ctr" anchorCtr="0"/>
              <a:lstStyle/>
              <a:p>
                <a:pPr algn="ctr">
                  <a:defRPr lang="en-US" sz="1200" b="1"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Design_Sheet!$B$23:$B$28</c:f>
              <c:strCache>
                <c:ptCount val="6"/>
                <c:pt idx="0">
                  <c:v>Cardiology</c:v>
                </c:pt>
                <c:pt idx="1">
                  <c:v>Gastroenterology</c:v>
                </c:pt>
                <c:pt idx="2">
                  <c:v>Neurology</c:v>
                </c:pt>
                <c:pt idx="3">
                  <c:v>Oncology</c:v>
                </c:pt>
                <c:pt idx="4">
                  <c:v>Orthopedics</c:v>
                </c:pt>
                <c:pt idx="5">
                  <c:v>Pediatrics</c:v>
                </c:pt>
              </c:strCache>
            </c:strRef>
          </c:cat>
          <c:val>
            <c:numRef>
              <c:f>Design_Sheet!$E$23:$E$28</c:f>
              <c:numCache>
                <c:formatCode>0.00</c:formatCode>
                <c:ptCount val="6"/>
                <c:pt idx="0">
                  <c:v>19.571496576932219</c:v>
                </c:pt>
                <c:pt idx="1">
                  <c:v>16.895590419093264</c:v>
                </c:pt>
                <c:pt idx="2">
                  <c:v>19.085265376655212</c:v>
                </c:pt>
                <c:pt idx="3">
                  <c:v>17.819042610923095</c:v>
                </c:pt>
                <c:pt idx="4">
                  <c:v>16.439379567641545</c:v>
                </c:pt>
                <c:pt idx="5">
                  <c:v>17.727930402572756</c:v>
                </c:pt>
              </c:numCache>
            </c:numRef>
          </c:val>
          <c:extLst>
            <c:ext xmlns:c16="http://schemas.microsoft.com/office/drawing/2014/chart" uri="{C3380CC4-5D6E-409C-BE32-E72D297353CC}">
              <c16:uniqueId val="{0000000E-6BE9-4635-9160-6912B06EA552}"/>
            </c:ext>
          </c:extLst>
        </c:ser>
        <c:dLbls>
          <c:showLegendKey val="0"/>
          <c:showVal val="0"/>
          <c:showCatName val="0"/>
          <c:showSerName val="0"/>
          <c:showPercent val="0"/>
          <c:showBubbleSize val="0"/>
        </c:dLbls>
        <c:gapWidth val="141"/>
        <c:shape val="box"/>
        <c:axId val="873575487"/>
        <c:axId val="873577887"/>
        <c:axId val="0"/>
      </c:bar3DChart>
      <c:catAx>
        <c:axId val="873575487"/>
        <c:scaling>
          <c:orientation val="minMax"/>
        </c:scaling>
        <c:delete val="1"/>
        <c:axPos val="b"/>
        <c:numFmt formatCode="General" sourceLinked="0"/>
        <c:majorTickMark val="out"/>
        <c:minorTickMark val="none"/>
        <c:tickLblPos val="nextTo"/>
        <c:crossAx val="873577887"/>
        <c:crosses val="autoZero"/>
        <c:auto val="0"/>
        <c:lblAlgn val="ctr"/>
        <c:lblOffset val="80"/>
        <c:noMultiLvlLbl val="0"/>
      </c:catAx>
      <c:valAx>
        <c:axId val="873577887"/>
        <c:scaling>
          <c:orientation val="minMax"/>
        </c:scaling>
        <c:delete val="1"/>
        <c:axPos val="l"/>
        <c:numFmt formatCode="0.00" sourceLinked="1"/>
        <c:majorTickMark val="out"/>
        <c:minorTickMark val="none"/>
        <c:tickLblPos val="nextTo"/>
        <c:crossAx val="873575487"/>
        <c:crossesAt val="1"/>
        <c:crossBetween val="between"/>
      </c:valAx>
      <c:spPr>
        <a:noFill/>
        <a:ln>
          <a:noFill/>
        </a:ln>
        <a:effectLst>
          <a:outerShdw blurRad="25400" dist="50800" dir="5400000" algn="ctr" rotWithShape="0">
            <a:schemeClr val="bg1">
              <a:alpha val="43000"/>
            </a:schemeClr>
          </a:outerShdw>
        </a:effectLst>
      </c:spPr>
    </c:plotArea>
    <c:legend>
      <c:legendPos val="r"/>
      <c:layout>
        <c:manualLayout>
          <c:xMode val="edge"/>
          <c:yMode val="edge"/>
          <c:x val="4.4108185384764784E-2"/>
          <c:y val="0.8562505769146378"/>
          <c:w val="0.90793689257030341"/>
          <c:h val="0.13308516546290117"/>
        </c:manualLayout>
      </c:layout>
      <c:overlay val="0"/>
      <c:spPr>
        <a:noFill/>
        <a:ln>
          <a:noFill/>
        </a:ln>
        <a:effectLst/>
      </c:spPr>
      <c:txPr>
        <a:bodyPr rot="0" spcFirstLastPara="1" vertOverflow="ellipsis" vert="horz" wrap="square" anchor="ctr" anchorCtr="1"/>
        <a:lstStyle/>
        <a:p>
          <a:pPr>
            <a:defRPr lang="en-US" sz="1100" b="1" i="0" u="none" strike="noStrike" kern="1200" baseline="0">
              <a:solidFill>
                <a:schemeClr val="tx1">
                  <a:lumMod val="95000"/>
                  <a:lumOff val="5000"/>
                </a:schemeClr>
              </a:solidFill>
              <a:effectLst>
                <a:outerShdw blurRad="50800" dist="50800" dir="5400000" algn="ctr" rotWithShape="0">
                  <a:srgbClr val="1C544A"/>
                </a:outerShdw>
              </a:effectLst>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lgn="ctr">
        <a:defRPr lang="en-US" sz="900" b="0" i="0" u="none" strike="noStrike" kern="1200" baseline="0">
          <a:solidFill>
            <a:schemeClr val="tx1">
              <a:lumMod val="95000"/>
              <a:lumOff val="5000"/>
            </a:schemeClr>
          </a:solidFill>
          <a:effectLst>
            <a:outerShdw blurRad="50800" dist="50800" dir="5400000" algn="ctr" rotWithShape="0">
              <a:srgbClr val="1C544A"/>
            </a:outerShdw>
          </a:effectLst>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mc:AlternateContent xmlns:mc="http://schemas.openxmlformats.org/markup-compatibility/2006">
    <mc:Choice xmlns:c14="http://schemas.microsoft.com/office/drawing/2007/8/2/chart" Requires="c14">
      <c14:style val="102"/>
    </mc:Choice>
    <mc:Fallback>
      <c:style val="2"/>
    </mc:Fallback>
  </mc:AlternateContent>
  <c:pivotSource>
    <c:name>[Hospital_Patient_Recovery_Dashboard.xlsx]Design_Sheet!PivotTable5</c:name>
    <c:fmtId val="26"/>
  </c:pivotSource>
  <c:chart>
    <c:autoTitleDeleted val="1"/>
    <c:pivotFmts>
      <c:pivotFmt>
        <c:idx val="0"/>
        <c:spPr>
          <a:solidFill>
            <a:schemeClr val="accent1"/>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C544A"/>
          </a:solidFill>
          <a:ln w="19050">
            <a:noFill/>
          </a:ln>
          <a:effectLst>
            <a:outerShdw blurRad="50800" dist="38100" dir="5400000" algn="t" rotWithShape="0">
              <a:prstClr val="black">
                <a:alpha val="40000"/>
              </a:prstClr>
            </a:outerShdw>
          </a:effectLst>
        </c:spPr>
        <c:dLbl>
          <c:idx val="0"/>
          <c:layout>
            <c:manualLayout>
              <c:x val="9.3189964157706102E-3"/>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3DB0B3"/>
          </a:solidFill>
          <a:ln w="19050">
            <a:noFill/>
          </a:ln>
          <a:effectLst>
            <a:outerShdw blurRad="50800" dist="38100" dir="5400000" algn="t" rotWithShape="0">
              <a:prstClr val="black">
                <a:alpha val="40000"/>
              </a:prstClr>
            </a:outerShdw>
          </a:effectLst>
        </c:spPr>
        <c:dLbl>
          <c:idx val="0"/>
          <c:layout>
            <c:manualLayout>
              <c:x val="-1.6039285411904157E-2"/>
              <c:y val="1.1420416557445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D7F4FD"/>
          </a:solidFill>
          <a:ln w="19050">
            <a:noFill/>
          </a:ln>
          <a:effectLst>
            <a:outerShdw blurRad="50800" dist="38100" dir="5400000" algn="t" rotWithShape="0">
              <a:prstClr val="black">
                <a:alpha val="40000"/>
              </a:prstClr>
            </a:outerShdw>
          </a:effectLst>
        </c:spPr>
        <c:dLbl>
          <c:idx val="0"/>
          <c:layout>
            <c:manualLayout>
              <c:x val="-1.5949820788530432E-2"/>
              <c:y val="1.142041655744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C544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1C544A"/>
          </a:solidFill>
          <a:ln w="19050">
            <a:noFill/>
          </a:ln>
          <a:effectLst>
            <a:outerShdw blurRad="50800" dist="38100" dir="5400000" algn="t" rotWithShape="0">
              <a:prstClr val="black">
                <a:alpha val="40000"/>
              </a:prstClr>
            </a:outerShdw>
          </a:effectLst>
        </c:spPr>
        <c:dLbl>
          <c:idx val="0"/>
          <c:layout>
            <c:manualLayout>
              <c:x val="9.3189964157706102E-3"/>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3DB0B3"/>
          </a:solidFill>
          <a:ln w="19050">
            <a:noFill/>
          </a:ln>
          <a:effectLst>
            <a:outerShdw blurRad="50800" dist="38100" dir="5400000" algn="t" rotWithShape="0">
              <a:prstClr val="black">
                <a:alpha val="40000"/>
              </a:prstClr>
            </a:outerShdw>
          </a:effectLst>
        </c:spPr>
        <c:dLbl>
          <c:idx val="0"/>
          <c:layout>
            <c:manualLayout>
              <c:x val="-1.6039285411904157E-2"/>
              <c:y val="1.14204165574457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D7F4FD"/>
          </a:solidFill>
          <a:ln w="19050">
            <a:noFill/>
          </a:ln>
          <a:effectLst>
            <a:outerShdw blurRad="50800" dist="38100" dir="5400000" algn="t" rotWithShape="0">
              <a:prstClr val="black">
                <a:alpha val="40000"/>
              </a:prstClr>
            </a:outerShdw>
          </a:effectLst>
        </c:spPr>
        <c:dLbl>
          <c:idx val="0"/>
          <c:layout>
            <c:manualLayout>
              <c:x val="-1.5949820788530432E-2"/>
              <c:y val="1.1420416557445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C544A"/>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1C544A"/>
          </a:solidFill>
          <a:ln w="19050">
            <a:noFill/>
          </a:ln>
          <a:effectLst>
            <a:outerShdw blurRad="50800" dist="38100" dir="5400000" algn="t" rotWithShape="0">
              <a:prstClr val="black">
                <a:alpha val="40000"/>
              </a:prstClr>
            </a:outerShdw>
          </a:effectLst>
        </c:spPr>
        <c:dLbl>
          <c:idx val="0"/>
          <c:layout>
            <c:manualLayout>
              <c:x val="9.3189964157706102E-3"/>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3DB0B3"/>
          </a:solidFill>
          <a:ln w="19050">
            <a:noFill/>
          </a:ln>
          <a:effectLst>
            <a:outerShdw blurRad="50800" dist="38100" dir="5400000" algn="t" rotWithShape="0">
              <a:prstClr val="black">
                <a:alpha val="40000"/>
              </a:prstClr>
            </a:outerShdw>
          </a:effectLst>
        </c:spPr>
        <c:dLbl>
          <c:idx val="0"/>
          <c:layout>
            <c:manualLayout>
              <c:x val="-1.6039285411904157E-2"/>
              <c:y val="1.142041655744571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D7F4FD"/>
          </a:solidFill>
          <a:ln w="19050">
            <a:noFill/>
          </a:ln>
          <a:effectLst>
            <a:outerShdw blurRad="50800" dist="38100" dir="5400000" algn="t" rotWithShape="0">
              <a:prstClr val="black">
                <a:alpha val="40000"/>
              </a:prstClr>
            </a:outerShdw>
          </a:effectLst>
        </c:spPr>
        <c:dLbl>
          <c:idx val="0"/>
          <c:layout>
            <c:manualLayout>
              <c:x val="-1.5949820788530432E-2"/>
              <c:y val="1.14204165574458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1C544A"/>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222481481481481"/>
          <c:y val="0.11400952734471667"/>
          <c:w val="0.5121918518518519"/>
          <c:h val="0.85555431823805994"/>
        </c:manualLayout>
      </c:layout>
      <c:doughnutChart>
        <c:varyColors val="1"/>
        <c:ser>
          <c:idx val="0"/>
          <c:order val="0"/>
          <c:tx>
            <c:strRef>
              <c:f>Design_Sheet!$C$65</c:f>
              <c:strCache>
                <c:ptCount val="1"/>
                <c:pt idx="0">
                  <c:v>Total</c:v>
                </c:pt>
              </c:strCache>
            </c:strRef>
          </c:tx>
          <c:spPr>
            <a:ln>
              <a:noFill/>
            </a:ln>
            <a:effectLst>
              <a:outerShdw blurRad="50800" dist="38100" dir="5400000" algn="t" rotWithShape="0">
                <a:prstClr val="black">
                  <a:alpha val="40000"/>
                </a:prstClr>
              </a:outerShdw>
            </a:effectLst>
          </c:spPr>
          <c:dPt>
            <c:idx val="0"/>
            <c:bubble3D val="0"/>
            <c:spPr>
              <a:solidFill>
                <a:srgbClr val="1C544A"/>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E99F-4445-B69B-D967835AEDA9}"/>
              </c:ext>
            </c:extLst>
          </c:dPt>
          <c:dPt>
            <c:idx val="1"/>
            <c:bubble3D val="0"/>
            <c:spPr>
              <a:solidFill>
                <a:srgbClr val="3DB0B3"/>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E99F-4445-B69B-D967835AEDA9}"/>
              </c:ext>
            </c:extLst>
          </c:dPt>
          <c:dPt>
            <c:idx val="2"/>
            <c:bubble3D val="0"/>
            <c:spPr>
              <a:solidFill>
                <a:srgbClr val="D7F4FD"/>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5-E99F-4445-B69B-D967835AEDA9}"/>
              </c:ext>
            </c:extLst>
          </c:dPt>
          <c:dLbls>
            <c:dLbl>
              <c:idx val="0"/>
              <c:layout>
                <c:manualLayout>
                  <c:x val="9.3189964157706102E-3"/>
                  <c:y val="5.7102082787229098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99F-4445-B69B-D967835AEDA9}"/>
                </c:ext>
              </c:extLst>
            </c:dLbl>
            <c:dLbl>
              <c:idx val="1"/>
              <c:layout>
                <c:manualLayout>
                  <c:x val="-1.6039285411904157E-2"/>
                  <c:y val="1.142041655744571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99F-4445-B69B-D967835AEDA9}"/>
                </c:ext>
              </c:extLst>
            </c:dLbl>
            <c:dLbl>
              <c:idx val="2"/>
              <c:layout>
                <c:manualLayout>
                  <c:x val="-1.5949820788530432E-2"/>
                  <c:y val="1.142041655744582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1C544A"/>
                      </a:solidFill>
                      <a:latin typeface="Aptos Narrow"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99F-4445-B69B-D967835AEDA9}"/>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Aptos Narrow"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Design_Sheet!$B$66:$B$68</c:f>
              <c:strCache>
                <c:ptCount val="3"/>
                <c:pt idx="0">
                  <c:v>Female</c:v>
                </c:pt>
                <c:pt idx="1">
                  <c:v>Male</c:v>
                </c:pt>
                <c:pt idx="2">
                  <c:v>Other</c:v>
                </c:pt>
              </c:strCache>
            </c:strRef>
          </c:cat>
          <c:val>
            <c:numRef>
              <c:f>Design_Sheet!$C$66:$C$68</c:f>
              <c:numCache>
                <c:formatCode>0.00</c:formatCode>
                <c:ptCount val="3"/>
                <c:pt idx="0">
                  <c:v>71.614035087719301</c:v>
                </c:pt>
                <c:pt idx="1">
                  <c:v>72.283950617283949</c:v>
                </c:pt>
                <c:pt idx="2">
                  <c:v>66.741935483870961</c:v>
                </c:pt>
              </c:numCache>
            </c:numRef>
          </c:val>
          <c:extLst>
            <c:ext xmlns:c16="http://schemas.microsoft.com/office/drawing/2014/chart" uri="{C3380CC4-5D6E-409C-BE32-E72D297353CC}">
              <c16:uniqueId val="{00000006-E99F-4445-B69B-D967835AEDA9}"/>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legendEntry>
        <c:idx val="0"/>
        <c:txPr>
          <a:bodyPr rot="0" spcFirstLastPara="1" vertOverflow="ellipsis" vert="horz" wrap="square" anchor="ctr" anchorCtr="1"/>
          <a:lstStyle/>
          <a:p>
            <a:pPr>
              <a:defRPr sz="1400" b="1" i="0" u="none" strike="noStrike" kern="1200" baseline="0">
                <a:solidFill>
                  <a:srgbClr val="1C544A"/>
                </a:solidFill>
                <a:latin typeface="+mj-lt"/>
                <a:ea typeface="+mn-ea"/>
                <a:cs typeface="+mn-cs"/>
              </a:defRPr>
            </a:pPr>
            <a:endParaRPr lang="en-US"/>
          </a:p>
        </c:txPr>
      </c:legendEntry>
      <c:legendEntry>
        <c:idx val="1"/>
        <c:txPr>
          <a:bodyPr rot="0" spcFirstLastPara="1" vertOverflow="ellipsis" vert="horz" wrap="square" anchor="ctr" anchorCtr="1"/>
          <a:lstStyle/>
          <a:p>
            <a:pPr>
              <a:defRPr sz="1400" b="1" i="0" u="none" strike="noStrike" kern="1200" baseline="0">
                <a:solidFill>
                  <a:srgbClr val="1C544A"/>
                </a:solidFill>
                <a:latin typeface="+mj-lt"/>
                <a:ea typeface="+mn-ea"/>
                <a:cs typeface="+mn-cs"/>
              </a:defRPr>
            </a:pPr>
            <a:endParaRPr lang="en-US"/>
          </a:p>
        </c:txPr>
      </c:legendEntry>
      <c:legendEntry>
        <c:idx val="2"/>
        <c:txPr>
          <a:bodyPr rot="0" spcFirstLastPara="1" vertOverflow="ellipsis" vert="horz" wrap="square" anchor="ctr" anchorCtr="1"/>
          <a:lstStyle/>
          <a:p>
            <a:pPr>
              <a:defRPr sz="1400" b="1" i="0" u="none" strike="noStrike" kern="1200" baseline="0">
                <a:solidFill>
                  <a:srgbClr val="1C544A"/>
                </a:solidFill>
                <a:latin typeface="+mj-lt"/>
                <a:ea typeface="+mn-ea"/>
                <a:cs typeface="+mn-cs"/>
              </a:defRPr>
            </a:pPr>
            <a:endParaRPr lang="en-US"/>
          </a:p>
        </c:txPr>
      </c:legendEntry>
      <c:layout>
        <c:manualLayout>
          <c:xMode val="edge"/>
          <c:yMode val="edge"/>
          <c:x val="0.78860029120380482"/>
          <c:y val="3.1356335178487148E-2"/>
          <c:w val="0.19507349800380563"/>
          <c:h val="0.36105821120910342"/>
        </c:manualLayout>
      </c:layout>
      <c:overlay val="0"/>
      <c:spPr>
        <a:noFill/>
        <a:ln>
          <a:noFill/>
        </a:ln>
        <a:effectLst/>
      </c:spPr>
      <c:txPr>
        <a:bodyPr rot="0" spcFirstLastPara="1" vertOverflow="ellipsis" vert="horz" wrap="square" anchor="ctr" anchorCtr="1"/>
        <a:lstStyle/>
        <a:p>
          <a:pPr>
            <a:defRPr sz="1400" b="0" i="0" u="none" strike="noStrike" kern="1200" baseline="0">
              <a:solidFill>
                <a:srgbClr val="1C544A"/>
              </a:solidFill>
              <a:latin typeface="+mj-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953F174-A054-4C43-915D-5CD7B2A2C13D}">
          <cx:tx>
            <cx:txData>
              <cx:f>_xlchart.v2.4</cx:f>
              <cx:v>Average Recovery Score</cx:v>
            </cx:txData>
          </cx:tx>
          <cx:spPr>
            <a:solidFill>
              <a:srgbClr val="1C544A"/>
            </a:solidFill>
          </cx:spPr>
          <cx:dataLabels>
            <cx:visibility seriesName="0" categoryName="0" value="1"/>
          </cx:dataLabels>
          <cx:dataId val="0"/>
        </cx:series>
      </cx:plotAreaRegion>
      <cx:axis id="0">
        <cx:catScaling gapWidth="0.159999996"/>
        <cx:tickLabels/>
        <cx:txPr>
          <a:bodyPr spcFirstLastPara="1" vertOverflow="ellipsis" horzOverflow="overflow" wrap="square" lIns="0" tIns="0" rIns="0" bIns="0" anchor="ctr" anchorCtr="1"/>
          <a:lstStyle/>
          <a:p>
            <a:pPr algn="ctr" rtl="0">
              <a:defRPr sz="1050" b="1">
                <a:solidFill>
                  <a:srgbClr val="1C544A"/>
                </a:solidFill>
              </a:defRPr>
            </a:pPr>
            <a:endParaRPr lang="en-GB" sz="1050" b="1" i="0" u="none" strike="noStrike" baseline="0">
              <a:solidFill>
                <a:srgbClr val="1C544A"/>
              </a:solidFill>
              <a:latin typeface="Aptos Narrow" panose="02110004020202020204"/>
            </a:endParaRPr>
          </a:p>
        </cx:txPr>
      </cx:axis>
    </cx:plotArea>
  </cx:chart>
  <cx:spPr>
    <a:effectLst>
      <a:outerShdw blurRad="114300" dist="88900" dir="5400000" algn="t"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9051C79D-D29D-4A4D-9638-DCC180957B98}">
          <cx:tx>
            <cx:txData>
              <cx:f>_xlchart.v1.2</cx:f>
              <cx:v>Avg Recovery Score</cx:v>
            </cx:txData>
          </cx:tx>
          <cx:dataPt idx="0">
            <cx:spPr>
              <a:solidFill>
                <a:srgbClr val="1C544A"/>
              </a:solidFill>
            </cx:spPr>
          </cx:dataPt>
          <cx:dataPt idx="1">
            <cx:spPr>
              <a:solidFill>
                <a:srgbClr val="156082">
                  <a:lumMod val="60000"/>
                  <a:lumOff val="40000"/>
                </a:srgbClr>
              </a:solidFill>
            </cx:spPr>
          </cx:dataPt>
          <cx:dataPt idx="2">
            <cx:spPr>
              <a:solidFill>
                <a:srgbClr val="FFC000"/>
              </a:solidFill>
            </cx:spPr>
          </cx:dataPt>
          <cx:dataPt idx="3">
            <cx:spPr>
              <a:solidFill>
                <a:srgbClr val="4EA72E">
                  <a:lumMod val="75000"/>
                </a:srgbClr>
              </a:solidFill>
            </cx:spPr>
          </cx:dataPt>
          <cx:dataPt idx="4">
            <cx:spPr>
              <a:solidFill>
                <a:srgbClr val="A02B93">
                  <a:lumMod val="60000"/>
                  <a:lumOff val="40000"/>
                </a:srgbClr>
              </a:solidFill>
            </cx:spPr>
          </cx:dataPt>
          <cx:dataPt idx="5">
            <cx:spPr>
              <a:solidFill>
                <a:srgbClr val="156082">
                  <a:lumMod val="20000"/>
                  <a:lumOff val="80000"/>
                </a:srgbClr>
              </a:solidFill>
            </cx:spPr>
          </cx:dataPt>
          <cx:dataPt idx="6">
            <cx:spPr>
              <a:solidFill>
                <a:srgbClr val="3DB0B3"/>
              </a:solidFill>
              <a:ln>
                <a:noFill/>
              </a:ln>
            </cx:spPr>
          </cx:dataPt>
          <cx:dataPt idx="7">
            <cx:spPr>
              <a:solidFill>
                <a:srgbClr val="002060"/>
              </a:solidFill>
            </cx:spPr>
          </cx:dataPt>
          <cx:dataPt idx="8">
            <cx:spPr>
              <a:solidFill>
                <a:srgbClr val="1C544A"/>
              </a:solidFill>
            </cx:spPr>
          </cx:dataPt>
          <cx:dataLabels pos="inEnd">
            <cx:spPr>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000" b="1"/>
                </a:pPr>
                <a:endParaRPr lang="en-GB" sz="1000" b="1" i="0" u="none" strike="noStrike" baseline="0">
                  <a:solidFill>
                    <a:sysClr val="window" lastClr="FFFFFF"/>
                  </a:solidFill>
                  <a:latin typeface="Aptos Narrow" panose="02110004020202020204"/>
                </a:endParaRPr>
              </a:p>
            </cx:txPr>
            <cx:visibility seriesName="0" categoryName="1" value="1"/>
            <cx:separator>, </cx:separator>
            <cx:dataLabel idx="0">
              <cx:visibility seriesName="0" categoryName="1" value="1"/>
              <cx:separator>, </cx:separator>
            </cx:dataLabel>
            <cx:dataLabel idx="2">
              <cx:visibility seriesName="0" categoryName="1" value="1"/>
              <cx:separator>, </cx:separator>
            </cx:dataLabel>
            <cx:dataLabel idx="3">
              <cx:visibility seriesName="0" categoryName="1" value="1"/>
              <cx:separator>, </cx:separator>
            </cx:dataLabel>
            <cx:dataLabel idx="5">
              <cx:visibility seriesName="0" categoryName="1" value="1"/>
              <cx:separator>, </cx:separator>
            </cx:dataLabel>
            <cx:dataLabel idx="6">
              <cx:visibility seriesName="0" categoryName="1" value="1"/>
              <cx:separator>, </cx:separator>
            </cx:dataLabel>
          </cx:dataLabels>
          <cx:dataId val="0"/>
          <cx:layoutPr>
            <cx:parentLabelLayout val="overlapping"/>
          </cx:layoutPr>
        </cx:series>
      </cx:plotAreaRegion>
    </cx:plotArea>
  </cx:chart>
  <cx:spPr>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_xlchart.v2.9</cx:f>
      </cx:strDim>
      <cx:numDim type="val">
        <cx:f>_xlchart.v2.11</cx:f>
      </cx:numDim>
    </cx:data>
  </cx:chartData>
  <cx:chart>
    <cx:plotArea>
      <cx:plotAreaRegion>
        <cx:plotSurface>
          <cx:spPr>
            <a:ln>
              <a:noFill/>
            </a:ln>
          </cx:spPr>
        </cx:plotSurface>
        <cx:series layoutId="funnel" uniqueId="{F953F174-A054-4C43-915D-5CD7B2A2C13D}">
          <cx:tx>
            <cx:txData>
              <cx:f>_xlchart.v2.10</cx:f>
              <cx:v>Average Recovery Score</cx:v>
            </cx:txData>
          </cx:tx>
          <cx:spPr>
            <a:solidFill>
              <a:srgbClr val="1C544A"/>
            </a:solidFill>
          </cx:spPr>
          <cx:dataLabels>
            <cx:txPr>
              <a:bodyPr spcFirstLastPara="1" vertOverflow="ellipsis" horzOverflow="overflow" wrap="square" lIns="0" tIns="0" rIns="0" bIns="0" anchor="ctr" anchorCtr="1"/>
              <a:lstStyle/>
              <a:p>
                <a:pPr algn="ctr" rtl="0">
                  <a:defRPr sz="1400" b="1">
                    <a:solidFill>
                      <a:schemeClr val="bg1"/>
                    </a:solidFill>
                    <a:latin typeface="Aptos Narrow" panose="020B0004020202020204" pitchFamily="34" charset="0"/>
                    <a:ea typeface="Aptos Narrow" panose="020B0004020202020204" pitchFamily="34" charset="0"/>
                    <a:cs typeface="Aptos Narrow" panose="020B0004020202020204" pitchFamily="34" charset="0"/>
                  </a:defRPr>
                </a:pPr>
                <a:endParaRPr lang="en-GB" sz="1400" b="1" i="0" u="none" strike="noStrike" baseline="0">
                  <a:solidFill>
                    <a:schemeClr val="bg1"/>
                  </a:solidFill>
                  <a:latin typeface="Aptos Narrow" panose="020B0004020202020204" pitchFamily="34" charset="0"/>
                </a:endParaRPr>
              </a:p>
            </cx:txPr>
            <cx:visibility seriesName="0" categoryName="0" value="1"/>
          </cx:dataLabels>
          <cx:dataId val="0"/>
        </cx:series>
      </cx:plotAreaRegion>
      <cx:axis id="0">
        <cx:catScaling gapWidth="0.189999998"/>
        <cx:tickLabels/>
        <cx:txPr>
          <a:bodyPr spcFirstLastPara="1" vertOverflow="ellipsis" horzOverflow="overflow" wrap="square" lIns="0" tIns="0" rIns="0" bIns="0" anchor="ctr" anchorCtr="1"/>
          <a:lstStyle/>
          <a:p>
            <a:pPr algn="ctr" rtl="0">
              <a:defRPr sz="1400" b="1">
                <a:solidFill>
                  <a:srgbClr val="1C544A"/>
                </a:solidFill>
                <a:latin typeface="+mj-lt"/>
              </a:defRPr>
            </a:pPr>
            <a:endParaRPr lang="en-GB" sz="1400" b="1" i="0" u="none" strike="noStrike" baseline="0">
              <a:solidFill>
                <a:srgbClr val="1C544A"/>
              </a:solidFill>
              <a:latin typeface="+mj-lt"/>
            </a:endParaRPr>
          </a:p>
        </cx:txPr>
      </cx:axis>
    </cx:plotArea>
  </cx:chart>
  <cx:spPr>
    <a:ln>
      <a:noFill/>
    </a:ln>
    <a:effectLst>
      <a:outerShdw blurRad="114300" dist="88900" dir="5400000" algn="t" rotWithShape="0">
        <a:prstClr val="black">
          <a:alpha val="40000"/>
        </a:prstClr>
      </a:outerShdw>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size">
        <cx:f>_xlchart.v1.7</cx:f>
      </cx:numDim>
    </cx:data>
  </cx:chartData>
  <cx:chart>
    <cx:plotArea>
      <cx:plotAreaRegion>
        <cx:series layoutId="treemap" uniqueId="{9051C79D-D29D-4A4D-9638-DCC180957B98}">
          <cx:tx>
            <cx:txData>
              <cx:f>_xlchart.v1.8</cx:f>
              <cx:v>Avg Recovery Score</cx:v>
            </cx:txData>
          </cx:tx>
          <cx:dataPt idx="0">
            <cx:spPr>
              <a:solidFill>
                <a:srgbClr val="1C544A"/>
              </a:solidFill>
            </cx:spPr>
          </cx:dataPt>
          <cx:dataPt idx="1">
            <cx:spPr>
              <a:solidFill>
                <a:srgbClr val="156082">
                  <a:lumMod val="60000"/>
                  <a:lumOff val="40000"/>
                </a:srgbClr>
              </a:solidFill>
            </cx:spPr>
          </cx:dataPt>
          <cx:dataPt idx="2">
            <cx:spPr>
              <a:solidFill>
                <a:srgbClr val="FFC000"/>
              </a:solidFill>
            </cx:spPr>
          </cx:dataPt>
          <cx:dataPt idx="3">
            <cx:spPr>
              <a:solidFill>
                <a:srgbClr val="4EA72E">
                  <a:lumMod val="75000"/>
                </a:srgbClr>
              </a:solidFill>
            </cx:spPr>
          </cx:dataPt>
          <cx:dataPt idx="4">
            <cx:spPr>
              <a:solidFill>
                <a:srgbClr val="A02B93">
                  <a:lumMod val="60000"/>
                  <a:lumOff val="40000"/>
                </a:srgbClr>
              </a:solidFill>
            </cx:spPr>
          </cx:dataPt>
          <cx:dataPt idx="5">
            <cx:spPr>
              <a:solidFill>
                <a:srgbClr val="156082">
                  <a:lumMod val="20000"/>
                  <a:lumOff val="80000"/>
                </a:srgbClr>
              </a:solidFill>
            </cx:spPr>
          </cx:dataPt>
          <cx:dataPt idx="6">
            <cx:spPr>
              <a:solidFill>
                <a:srgbClr val="3DB0B3"/>
              </a:solidFill>
              <a:ln>
                <a:noFill/>
              </a:ln>
            </cx:spPr>
          </cx:dataPt>
          <cx:dataPt idx="7">
            <cx:spPr>
              <a:solidFill>
                <a:srgbClr val="002060"/>
              </a:solidFill>
            </cx:spPr>
          </cx:dataPt>
          <cx:dataPt idx="8">
            <cx:spPr>
              <a:solidFill>
                <a:srgbClr val="1C544A"/>
              </a:solidFill>
            </cx:spPr>
          </cx:dataPt>
          <cx:dataLabels pos="inEnd">
            <cx:spPr>
              <a:noFill/>
              <a:effectLst>
                <a:outerShdw blurRad="50800" dist="38100" dir="2700000" algn="tl" rotWithShape="0">
                  <a:prstClr val="black">
                    <a:alpha val="40000"/>
                  </a:prstClr>
                </a:outerShdw>
              </a:effectLst>
            </cx:spP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Aptos Narrow" panose="02110004020202020204"/>
                </a:endParaRPr>
              </a:p>
            </cx:txPr>
            <cx:visibility seriesName="0" categoryName="1" value="1"/>
            <cx:separator>, </cx:separator>
            <cx:dataLabel idx="0">
              <cx:visibility seriesName="0" categoryName="1" value="1"/>
              <cx:separator>, </cx:separator>
            </cx:dataLabel>
            <cx:dataLabel idx="2">
              <cx:txPr>
                <a:bodyPr spcFirstLastPara="1" vertOverflow="ellipsis" horzOverflow="overflow" wrap="square" lIns="0" tIns="0" rIns="0" bIns="0" anchor="ctr" anchorCtr="1"/>
                <a:lstStyle/>
                <a:p>
                  <a:pPr algn="ctr" rtl="0">
                    <a:defRPr>
                      <a:solidFill>
                        <a:srgbClr val="1C544A"/>
                      </a:solidFill>
                    </a:defRPr>
                  </a:pPr>
                  <a:r>
                    <a:rPr lang="en-GB" sz="1400" b="1" i="0" u="none" strike="noStrike" baseline="0">
                      <a:solidFill>
                        <a:srgbClr val="1C544A"/>
                      </a:solidFill>
                      <a:latin typeface="Aptos Narrow" panose="02110004020202020204"/>
                    </a:rPr>
                    <a:t>Infant, 72.22</a:t>
                  </a:r>
                </a:p>
              </cx:txPr>
              <cx:visibility seriesName="0" categoryName="1" value="1"/>
              <cx:separator>, </cx:separator>
            </cx:dataLabel>
            <cx:dataLabel idx="3">
              <cx:visibility seriesName="0" categoryName="1" value="1"/>
              <cx:separator>, </cx:separator>
            </cx:dataLabel>
            <cx:dataLabel idx="4">
              <cx:txPr>
                <a:bodyPr spcFirstLastPara="1" vertOverflow="ellipsis" horzOverflow="overflow" wrap="square" lIns="0" tIns="0" rIns="0" bIns="0" anchor="ctr" anchorCtr="1"/>
                <a:lstStyle/>
                <a:p>
                  <a:pPr algn="ctr" rtl="0">
                    <a:defRPr>
                      <a:solidFill>
                        <a:srgbClr val="1C544A"/>
                      </a:solidFill>
                    </a:defRPr>
                  </a:pPr>
                  <a:r>
                    <a:rPr lang="en-GB" sz="1400" b="1" i="0" u="none" strike="noStrike" baseline="0">
                      <a:solidFill>
                        <a:srgbClr val="1C544A"/>
                      </a:solidFill>
                      <a:latin typeface="Aptos Narrow" panose="02110004020202020204"/>
                    </a:rPr>
                    <a:t>Middle-Aged, 68.24</a:t>
                  </a:r>
                </a:p>
              </cx:txPr>
            </cx:dataLabel>
            <cx:dataLabel idx="5">
              <cx:txPr>
                <a:bodyPr spcFirstLastPara="1" vertOverflow="ellipsis" horzOverflow="overflow" wrap="square" lIns="0" tIns="0" rIns="0" bIns="0" anchor="ctr" anchorCtr="1"/>
                <a:lstStyle/>
                <a:p>
                  <a:pPr algn="ctr" rtl="0">
                    <a:defRPr sz="1400">
                      <a:solidFill>
                        <a:srgbClr val="1C544A"/>
                      </a:solidFill>
                    </a:defRPr>
                  </a:pPr>
                  <a:r>
                    <a:rPr lang="en-GB" sz="1400" b="1" i="0" u="none" strike="noStrike" baseline="0">
                      <a:solidFill>
                        <a:srgbClr val="1C544A"/>
                      </a:solidFill>
                      <a:latin typeface="Aptos Narrow" panose="02110004020202020204"/>
                    </a:rPr>
                    <a:t>Old, 74.13</a:t>
                  </a:r>
                </a:p>
              </cx:txPr>
              <cx:visibility seriesName="0" categoryName="1" value="1"/>
              <cx:separator>, </cx:separator>
            </cx:dataLabel>
            <cx:dataLabel idx="6">
              <cx:txPr>
                <a:bodyPr spcFirstLastPara="1" vertOverflow="ellipsis" horzOverflow="overflow" wrap="square" lIns="0" tIns="0" rIns="0" bIns="0" anchor="ctr" anchorCtr="1"/>
                <a:lstStyle/>
                <a:p>
                  <a:pPr algn="ctr" rtl="0">
                    <a:defRPr sz="1400"/>
                  </a:pPr>
                  <a:r>
                    <a:rPr lang="en-GB" sz="1400" b="1" i="0" u="none" strike="noStrike" baseline="0">
                      <a:solidFill>
                        <a:sysClr val="window" lastClr="FFFFFF"/>
                      </a:solidFill>
                      <a:latin typeface="Aptos Narrow" panose="02110004020202020204"/>
                    </a:rPr>
                    <a:t>Oldest, 71.10</a:t>
                  </a:r>
                </a:p>
              </cx:txPr>
              <cx:visibility seriesName="0" categoryName="1" value="1"/>
              <cx:separator>, </cx:separator>
            </cx:dataLabel>
            <cx:dataLabel idx="7">
              <cx:txPr>
                <a:bodyPr spcFirstLastPara="1" vertOverflow="ellipsis" horzOverflow="overflow" wrap="square" lIns="0" tIns="0" rIns="0" bIns="0" anchor="ctr" anchorCtr="1"/>
                <a:lstStyle/>
                <a:p>
                  <a:pPr algn="ctr" rtl="0">
                    <a:defRPr/>
                  </a:pPr>
                  <a:r>
                    <a:rPr lang="en-GB" sz="1400" b="1" i="0" u="none" strike="noStrike" baseline="0">
                      <a:solidFill>
                        <a:schemeClr val="bg1"/>
                      </a:solidFill>
                      <a:latin typeface="Aptos Narrow" panose="02110004020202020204"/>
                    </a:rPr>
                    <a:t>Teenager, 67.23</a:t>
                  </a:r>
                </a:p>
              </cx:txPr>
              <cx:visibility seriesName="0" categoryName="1" value="1"/>
              <cx:separator>, </cx:separator>
            </cx:dataLabel>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svg"/><Relationship Id="rId3" Type="http://schemas.openxmlformats.org/officeDocument/2006/relationships/chart" Target="../charts/chart5.xml"/><Relationship Id="rId7" Type="http://schemas.openxmlformats.org/officeDocument/2006/relationships/image" Target="../media/image4.svg"/><Relationship Id="rId12" Type="http://schemas.openxmlformats.org/officeDocument/2006/relationships/image" Target="../media/image9.png"/><Relationship Id="rId17" Type="http://schemas.openxmlformats.org/officeDocument/2006/relationships/chart" Target="../charts/chart8.xml"/><Relationship Id="rId2" Type="http://schemas.microsoft.com/office/2014/relationships/chartEx" Target="../charts/chartEx4.xml"/><Relationship Id="rId16" Type="http://schemas.openxmlformats.org/officeDocument/2006/relationships/chart" Target="../charts/chart7.xml"/><Relationship Id="rId1" Type="http://schemas.microsoft.com/office/2014/relationships/chartEx" Target="../charts/chartEx3.xml"/><Relationship Id="rId6" Type="http://schemas.openxmlformats.org/officeDocument/2006/relationships/image" Target="../media/image3.png"/><Relationship Id="rId11" Type="http://schemas.openxmlformats.org/officeDocument/2006/relationships/image" Target="../media/image8.svg"/><Relationship Id="rId5" Type="http://schemas.openxmlformats.org/officeDocument/2006/relationships/image" Target="../media/image2.svg"/><Relationship Id="rId15" Type="http://schemas.openxmlformats.org/officeDocument/2006/relationships/chart" Target="../charts/chart6.xml"/><Relationship Id="rId10" Type="http://schemas.openxmlformats.org/officeDocument/2006/relationships/image" Target="../media/image7.png"/><Relationship Id="rId4" Type="http://schemas.openxmlformats.org/officeDocument/2006/relationships/image" Target="../media/image1.png"/><Relationship Id="rId9" Type="http://schemas.openxmlformats.org/officeDocument/2006/relationships/image" Target="../media/image6.svg"/><Relationship Id="rId14"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7</xdr:row>
      <xdr:rowOff>28575</xdr:rowOff>
    </xdr:from>
    <xdr:to>
      <xdr:col>2</xdr:col>
      <xdr:colOff>933450</xdr:colOff>
      <xdr:row>18</xdr:row>
      <xdr:rowOff>66675</xdr:rowOff>
    </xdr:to>
    <mc:AlternateContent xmlns:mc="http://schemas.openxmlformats.org/markup-compatibility/2006" xmlns:a14="http://schemas.microsoft.com/office/drawing/2010/main">
      <mc:Choice Requires="a14">
        <xdr:graphicFrame macro="">
          <xdr:nvGraphicFramePr>
            <xdr:cNvPr id="2" name="Department">
              <a:extLst>
                <a:ext uri="{FF2B5EF4-FFF2-40B4-BE49-F238E27FC236}">
                  <a16:creationId xmlns:a16="http://schemas.microsoft.com/office/drawing/2014/main" id="{01E6F046-D9BA-B7CA-050E-AE7B811A398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333375" y="1400175"/>
              <a:ext cx="1828800"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7</xdr:row>
      <xdr:rowOff>28575</xdr:rowOff>
    </xdr:from>
    <xdr:to>
      <xdr:col>4</xdr:col>
      <xdr:colOff>561975</xdr:colOff>
      <xdr:row>15</xdr:row>
      <xdr:rowOff>104775</xdr:rowOff>
    </xdr:to>
    <mc:AlternateContent xmlns:mc="http://schemas.openxmlformats.org/markup-compatibility/2006" xmlns:a14="http://schemas.microsoft.com/office/drawing/2010/main">
      <mc:Choice Requires="a14">
        <xdr:graphicFrame macro="">
          <xdr:nvGraphicFramePr>
            <xdr:cNvPr id="3" name="Treatment Type">
              <a:extLst>
                <a:ext uri="{FF2B5EF4-FFF2-40B4-BE49-F238E27FC236}">
                  <a16:creationId xmlns:a16="http://schemas.microsoft.com/office/drawing/2014/main" id="{DF0B71CD-C551-15C3-0B35-E34F00D02F84}"/>
                </a:ext>
              </a:extLst>
            </xdr:cNvPr>
            <xdr:cNvGraphicFramePr/>
          </xdr:nvGraphicFramePr>
          <xdr:xfrm>
            <a:off x="0" y="0"/>
            <a:ext cx="0" cy="0"/>
          </xdr:xfrm>
          <a:graphic>
            <a:graphicData uri="http://schemas.microsoft.com/office/drawing/2010/slicer">
              <sle:slicer xmlns:sle="http://schemas.microsoft.com/office/drawing/2010/slicer" name="Treatment Type"/>
            </a:graphicData>
          </a:graphic>
        </xdr:graphicFrame>
      </mc:Choice>
      <mc:Fallback xmlns="">
        <xdr:sp macro="" textlink="">
          <xdr:nvSpPr>
            <xdr:cNvPr id="0" name=""/>
            <xdr:cNvSpPr>
              <a:spLocks noTextEdit="1"/>
            </xdr:cNvSpPr>
          </xdr:nvSpPr>
          <xdr:spPr>
            <a:xfrm>
              <a:off x="2486025" y="1400175"/>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xdr:colOff>
      <xdr:row>6</xdr:row>
      <xdr:rowOff>180975</xdr:rowOff>
    </xdr:from>
    <xdr:to>
      <xdr:col>6</xdr:col>
      <xdr:colOff>152400</xdr:colOff>
      <xdr:row>16</xdr:row>
      <xdr:rowOff>76200</xdr:rowOff>
    </xdr:to>
    <mc:AlternateContent xmlns:mc="http://schemas.openxmlformats.org/markup-compatibility/2006" xmlns:a14="http://schemas.microsoft.com/office/drawing/2010/main">
      <mc:Choice Requires="a14">
        <xdr:graphicFrame macro="">
          <xdr:nvGraphicFramePr>
            <xdr:cNvPr id="4" name="Doctor Name">
              <a:extLst>
                <a:ext uri="{FF2B5EF4-FFF2-40B4-BE49-F238E27FC236}">
                  <a16:creationId xmlns:a16="http://schemas.microsoft.com/office/drawing/2014/main" id="{9DE10D36-DC88-A1EB-8681-9FCE48B3C2FE}"/>
                </a:ext>
              </a:extLst>
            </xdr:cNvPr>
            <xdr:cNvGraphicFramePr/>
          </xdr:nvGraphicFramePr>
          <xdr:xfrm>
            <a:off x="0" y="0"/>
            <a:ext cx="0" cy="0"/>
          </xdr:xfrm>
          <a:graphic>
            <a:graphicData uri="http://schemas.microsoft.com/office/drawing/2010/slicer">
              <sle:slicer xmlns:sle="http://schemas.microsoft.com/office/drawing/2010/slicer" name="Doctor Name"/>
            </a:graphicData>
          </a:graphic>
        </xdr:graphicFrame>
      </mc:Choice>
      <mc:Fallback xmlns="">
        <xdr:sp macro="" textlink="">
          <xdr:nvSpPr>
            <xdr:cNvPr id="0" name=""/>
            <xdr:cNvSpPr>
              <a:spLocks noTextEdit="1"/>
            </xdr:cNvSpPr>
          </xdr:nvSpPr>
          <xdr:spPr>
            <a:xfrm>
              <a:off x="5257800" y="1362075"/>
              <a:ext cx="1828800" cy="1800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xdr:row>
      <xdr:rowOff>38100</xdr:rowOff>
    </xdr:from>
    <xdr:to>
      <xdr:col>10</xdr:col>
      <xdr:colOff>0</xdr:colOff>
      <xdr:row>14</xdr:row>
      <xdr:rowOff>28575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0C55ACAA-2131-D4B4-6676-0C1A12DE1F2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410575" y="1409700"/>
              <a:ext cx="1828800" cy="1323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733426</xdr:colOff>
      <xdr:row>37</xdr:row>
      <xdr:rowOff>23813</xdr:rowOff>
    </xdr:from>
    <xdr:to>
      <xdr:col>5</xdr:col>
      <xdr:colOff>1419226</xdr:colOff>
      <xdr:row>47</xdr:row>
      <xdr:rowOff>85725</xdr:rowOff>
    </xdr:to>
    <xdr:graphicFrame macro="">
      <xdr:nvGraphicFramePr>
        <xdr:cNvPr id="6" name="Chart 5">
          <a:extLst>
            <a:ext uri="{FF2B5EF4-FFF2-40B4-BE49-F238E27FC236}">
              <a16:creationId xmlns:a16="http://schemas.microsoft.com/office/drawing/2014/main" id="{0EC8F9BE-ACA8-FD7A-BE28-6E20EC4841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20</xdr:row>
      <xdr:rowOff>57150</xdr:rowOff>
    </xdr:from>
    <xdr:to>
      <xdr:col>11</xdr:col>
      <xdr:colOff>276225</xdr:colOff>
      <xdr:row>34</xdr:row>
      <xdr:rowOff>0</xdr:rowOff>
    </xdr:to>
    <xdr:graphicFrame macro="">
      <xdr:nvGraphicFramePr>
        <xdr:cNvPr id="7" name="Chart 6">
          <a:extLst>
            <a:ext uri="{FF2B5EF4-FFF2-40B4-BE49-F238E27FC236}">
              <a16:creationId xmlns:a16="http://schemas.microsoft.com/office/drawing/2014/main" id="{96D210FE-2F16-410C-BD30-70DC28B502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604837</xdr:colOff>
      <xdr:row>52</xdr:row>
      <xdr:rowOff>47625</xdr:rowOff>
    </xdr:from>
    <xdr:to>
      <xdr:col>10</xdr:col>
      <xdr:colOff>185737</xdr:colOff>
      <xdr:row>62</xdr:row>
      <xdr:rowOff>76201</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C4C1527E-3FEB-C1D6-6553-E72791CAFB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853112" y="10125075"/>
              <a:ext cx="4572000" cy="1943101"/>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695325</xdr:colOff>
      <xdr:row>63</xdr:row>
      <xdr:rowOff>38099</xdr:rowOff>
    </xdr:from>
    <xdr:to>
      <xdr:col>5</xdr:col>
      <xdr:colOff>228600</xdr:colOff>
      <xdr:row>74</xdr:row>
      <xdr:rowOff>166686</xdr:rowOff>
    </xdr:to>
    <xdr:graphicFrame macro="">
      <xdr:nvGraphicFramePr>
        <xdr:cNvPr id="11" name="Chart 10">
          <a:extLst>
            <a:ext uri="{FF2B5EF4-FFF2-40B4-BE49-F238E27FC236}">
              <a16:creationId xmlns:a16="http://schemas.microsoft.com/office/drawing/2014/main" id="{59197881-3C47-573C-C8BD-D7DBB08FA4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38098</xdr:colOff>
      <xdr:row>63</xdr:row>
      <xdr:rowOff>85725</xdr:rowOff>
    </xdr:from>
    <xdr:to>
      <xdr:col>4</xdr:col>
      <xdr:colOff>1885950</xdr:colOff>
      <xdr:row>64</xdr:row>
      <xdr:rowOff>152401</xdr:rowOff>
    </xdr:to>
    <xdr:sp macro="" textlink="">
      <xdr:nvSpPr>
        <xdr:cNvPr id="12" name="TextBox 11">
          <a:extLst>
            <a:ext uri="{FF2B5EF4-FFF2-40B4-BE49-F238E27FC236}">
              <a16:creationId xmlns:a16="http://schemas.microsoft.com/office/drawing/2014/main" id="{14AB3A6A-64F9-4540-9FDD-44327E55B83C}"/>
            </a:ext>
          </a:extLst>
        </xdr:cNvPr>
        <xdr:cNvSpPr txBox="1"/>
      </xdr:nvSpPr>
      <xdr:spPr>
        <a:xfrm>
          <a:off x="3476623" y="12277725"/>
          <a:ext cx="1847852" cy="2571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1C544A"/>
              </a:solidFill>
            </a:rPr>
            <a:t>Avg Recovery </a:t>
          </a:r>
          <a:r>
            <a:rPr lang="en-US" sz="1050" b="1" baseline="0">
              <a:solidFill>
                <a:srgbClr val="1C544A"/>
              </a:solidFill>
            </a:rPr>
            <a:t>Score By Gender </a:t>
          </a:r>
          <a:endParaRPr lang="en-US" sz="1050" b="1">
            <a:solidFill>
              <a:srgbClr val="1C544A"/>
            </a:solidFill>
          </a:endParaRPr>
        </a:p>
      </xdr:txBody>
    </xdr:sp>
    <xdr:clientData/>
  </xdr:twoCellAnchor>
  <xdr:twoCellAnchor>
    <xdr:from>
      <xdr:col>6</xdr:col>
      <xdr:colOff>76200</xdr:colOff>
      <xdr:row>51</xdr:row>
      <xdr:rowOff>161925</xdr:rowOff>
    </xdr:from>
    <xdr:to>
      <xdr:col>8</xdr:col>
      <xdr:colOff>314325</xdr:colOff>
      <xdr:row>53</xdr:row>
      <xdr:rowOff>47626</xdr:rowOff>
    </xdr:to>
    <xdr:sp macro="" textlink="">
      <xdr:nvSpPr>
        <xdr:cNvPr id="14" name="TextBox 13">
          <a:extLst>
            <a:ext uri="{FF2B5EF4-FFF2-40B4-BE49-F238E27FC236}">
              <a16:creationId xmlns:a16="http://schemas.microsoft.com/office/drawing/2014/main" id="{105360E7-F8E7-49A7-9D43-27DF03FE7567}"/>
            </a:ext>
          </a:extLst>
        </xdr:cNvPr>
        <xdr:cNvSpPr txBox="1"/>
      </xdr:nvSpPr>
      <xdr:spPr>
        <a:xfrm>
          <a:off x="7181850" y="10039350"/>
          <a:ext cx="2324100" cy="2762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1C544A"/>
              </a:solidFill>
            </a:rPr>
            <a:t>Avg Recovery </a:t>
          </a:r>
          <a:r>
            <a:rPr lang="en-US" sz="1050" b="1" baseline="0">
              <a:solidFill>
                <a:srgbClr val="1C544A"/>
              </a:solidFill>
            </a:rPr>
            <a:t>Score By Treatment Type</a:t>
          </a:r>
          <a:endParaRPr lang="en-US" sz="1050" b="1">
            <a:solidFill>
              <a:srgbClr val="1C544A"/>
            </a:solidFill>
          </a:endParaRPr>
        </a:p>
      </xdr:txBody>
    </xdr:sp>
    <xdr:clientData/>
  </xdr:twoCellAnchor>
  <xdr:twoCellAnchor>
    <xdr:from>
      <xdr:col>4</xdr:col>
      <xdr:colOff>19050</xdr:colOff>
      <xdr:row>80</xdr:row>
      <xdr:rowOff>0</xdr:rowOff>
    </xdr:from>
    <xdr:to>
      <xdr:col>5</xdr:col>
      <xdr:colOff>590550</xdr:colOff>
      <xdr:row>91</xdr:row>
      <xdr:rowOff>123825</xdr:rowOff>
    </xdr:to>
    <xdr:graphicFrame macro="">
      <xdr:nvGraphicFramePr>
        <xdr:cNvPr id="15" name="Chart 14">
          <a:extLst>
            <a:ext uri="{FF2B5EF4-FFF2-40B4-BE49-F238E27FC236}">
              <a16:creationId xmlns:a16="http://schemas.microsoft.com/office/drawing/2014/main" id="{FDFD5F33-D7AF-3F01-B4D4-89BB9077A7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123822</xdr:colOff>
      <xdr:row>80</xdr:row>
      <xdr:rowOff>9525</xdr:rowOff>
    </xdr:from>
    <xdr:to>
      <xdr:col>5</xdr:col>
      <xdr:colOff>438149</xdr:colOff>
      <xdr:row>81</xdr:row>
      <xdr:rowOff>76201</xdr:rowOff>
    </xdr:to>
    <xdr:sp macro="" textlink="">
      <xdr:nvSpPr>
        <xdr:cNvPr id="16" name="TextBox 15">
          <a:extLst>
            <a:ext uri="{FF2B5EF4-FFF2-40B4-BE49-F238E27FC236}">
              <a16:creationId xmlns:a16="http://schemas.microsoft.com/office/drawing/2014/main" id="{F4803E8E-F9D8-41FC-B5F9-85EC9DCBEE5E}"/>
            </a:ext>
          </a:extLst>
        </xdr:cNvPr>
        <xdr:cNvSpPr txBox="1"/>
      </xdr:nvSpPr>
      <xdr:spPr>
        <a:xfrm>
          <a:off x="3562347" y="15478125"/>
          <a:ext cx="2295527"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rgbClr val="1C544A"/>
              </a:solidFill>
            </a:rPr>
            <a:t>Avg Recovery </a:t>
          </a:r>
          <a:r>
            <a:rPr lang="en-US" sz="1050" b="1" baseline="0">
              <a:solidFill>
                <a:srgbClr val="1C544A"/>
              </a:solidFill>
            </a:rPr>
            <a:t>Score By Cost Category</a:t>
          </a:r>
          <a:endParaRPr lang="en-US" sz="1050" b="1">
            <a:solidFill>
              <a:srgbClr val="1C544A"/>
            </a:solidFill>
          </a:endParaRPr>
        </a:p>
      </xdr:txBody>
    </xdr:sp>
    <xdr:clientData/>
  </xdr:twoCellAnchor>
  <xdr:twoCellAnchor>
    <xdr:from>
      <xdr:col>6</xdr:col>
      <xdr:colOff>752474</xdr:colOff>
      <xdr:row>96</xdr:row>
      <xdr:rowOff>114300</xdr:rowOff>
    </xdr:from>
    <xdr:to>
      <xdr:col>14</xdr:col>
      <xdr:colOff>419100</xdr:colOff>
      <xdr:row>111</xdr:row>
      <xdr:rowOff>76199</xdr:rowOff>
    </xdr:to>
    <mc:AlternateContent xmlns:mc="http://schemas.openxmlformats.org/markup-compatibility/2006">
      <mc:Choice xmlns:cx1="http://schemas.microsoft.com/office/drawing/2015/9/8/chartex" Requires="cx1">
        <xdr:graphicFrame macro="">
          <xdr:nvGraphicFramePr>
            <xdr:cNvPr id="19" name="Chart 18">
              <a:extLst>
                <a:ext uri="{FF2B5EF4-FFF2-40B4-BE49-F238E27FC236}">
                  <a16:creationId xmlns:a16="http://schemas.microsoft.com/office/drawing/2014/main" id="{BD296A94-E97F-13E5-74DD-008B0F9493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686674" y="18669000"/>
              <a:ext cx="5410201" cy="28193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577005</xdr:colOff>
      <xdr:row>41</xdr:row>
      <xdr:rowOff>25902</xdr:rowOff>
    </xdr:from>
    <xdr:to>
      <xdr:col>28</xdr:col>
      <xdr:colOff>481270</xdr:colOff>
      <xdr:row>43</xdr:row>
      <xdr:rowOff>45943</xdr:rowOff>
    </xdr:to>
    <xdr:sp macro="" textlink="">
      <xdr:nvSpPr>
        <xdr:cNvPr id="42" name="TextBox 41">
          <a:extLst>
            <a:ext uri="{FF2B5EF4-FFF2-40B4-BE49-F238E27FC236}">
              <a16:creationId xmlns:a16="http://schemas.microsoft.com/office/drawing/2014/main" id="{E5450DBD-DC79-42BE-86A4-951DB8C8781A}"/>
            </a:ext>
          </a:extLst>
        </xdr:cNvPr>
        <xdr:cNvSpPr txBox="1"/>
      </xdr:nvSpPr>
      <xdr:spPr>
        <a:xfrm>
          <a:off x="13519799" y="8066123"/>
          <a:ext cx="4218530" cy="412246"/>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C544A"/>
              </a:solidFill>
            </a:rPr>
            <a:t>Avg  </a:t>
          </a:r>
          <a:r>
            <a:rPr lang="en-US" sz="1400" b="1" baseline="0">
              <a:solidFill>
                <a:srgbClr val="1C544A"/>
              </a:solidFill>
            </a:rPr>
            <a:t>Recovery Score By Aged Group</a:t>
          </a:r>
          <a:endParaRPr lang="en-US" sz="1400" b="1">
            <a:solidFill>
              <a:srgbClr val="1C544A"/>
            </a:solidFill>
          </a:endParaRPr>
        </a:p>
      </xdr:txBody>
    </xdr:sp>
    <xdr:clientData/>
  </xdr:twoCellAnchor>
  <xdr:twoCellAnchor>
    <xdr:from>
      <xdr:col>1</xdr:col>
      <xdr:colOff>296138</xdr:colOff>
      <xdr:row>2</xdr:row>
      <xdr:rowOff>71403</xdr:rowOff>
    </xdr:from>
    <xdr:to>
      <xdr:col>37</xdr:col>
      <xdr:colOff>107287</xdr:colOff>
      <xdr:row>59</xdr:row>
      <xdr:rowOff>10384</xdr:rowOff>
    </xdr:to>
    <xdr:grpSp>
      <xdr:nvGrpSpPr>
        <xdr:cNvPr id="80" name="Group 79">
          <a:extLst>
            <a:ext uri="{FF2B5EF4-FFF2-40B4-BE49-F238E27FC236}">
              <a16:creationId xmlns:a16="http://schemas.microsoft.com/office/drawing/2014/main" id="{782F4153-5C62-FB83-5CCE-0EF864AA429E}"/>
            </a:ext>
          </a:extLst>
        </xdr:cNvPr>
        <xdr:cNvGrpSpPr/>
      </xdr:nvGrpSpPr>
      <xdr:grpSpPr>
        <a:xfrm>
          <a:off x="900609" y="437749"/>
          <a:ext cx="21572111" cy="10379847"/>
          <a:chOff x="809023" y="456067"/>
          <a:chExt cx="21572111" cy="10379847"/>
        </a:xfrm>
      </xdr:grpSpPr>
      <xdr:grpSp>
        <xdr:nvGrpSpPr>
          <xdr:cNvPr id="76" name="Group 75">
            <a:extLst>
              <a:ext uri="{FF2B5EF4-FFF2-40B4-BE49-F238E27FC236}">
                <a16:creationId xmlns:a16="http://schemas.microsoft.com/office/drawing/2014/main" id="{B982DF42-B295-EA73-92E0-6CB3616D8EFD}"/>
              </a:ext>
            </a:extLst>
          </xdr:cNvPr>
          <xdr:cNvGrpSpPr/>
        </xdr:nvGrpSpPr>
        <xdr:grpSpPr>
          <a:xfrm>
            <a:off x="809023" y="456067"/>
            <a:ext cx="21572111" cy="10379847"/>
            <a:chOff x="1065465" y="785779"/>
            <a:chExt cx="21572111" cy="10379847"/>
          </a:xfrm>
        </xdr:grpSpPr>
        <xdr:sp macro="" textlink="">
          <xdr:nvSpPr>
            <xdr:cNvPr id="2" name="Rectangle 1">
              <a:extLst>
                <a:ext uri="{FF2B5EF4-FFF2-40B4-BE49-F238E27FC236}">
                  <a16:creationId xmlns:a16="http://schemas.microsoft.com/office/drawing/2014/main" id="{4751D532-81EA-49B6-51A8-CAE82032DA5C}"/>
                </a:ext>
              </a:extLst>
            </xdr:cNvPr>
            <xdr:cNvSpPr/>
          </xdr:nvSpPr>
          <xdr:spPr>
            <a:xfrm>
              <a:off x="1065465" y="842991"/>
              <a:ext cx="21572111" cy="10322635"/>
            </a:xfrm>
            <a:prstGeom prst="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n </a:t>
              </a:r>
            </a:p>
          </xdr:txBody>
        </xdr:sp>
        <xdr:grpSp>
          <xdr:nvGrpSpPr>
            <xdr:cNvPr id="49" name="Group 48">
              <a:extLst>
                <a:ext uri="{FF2B5EF4-FFF2-40B4-BE49-F238E27FC236}">
                  <a16:creationId xmlns:a16="http://schemas.microsoft.com/office/drawing/2014/main" id="{067C2A3A-30F5-8CBC-06EA-A59FB30CFE61}"/>
                </a:ext>
              </a:extLst>
            </xdr:cNvPr>
            <xdr:cNvGrpSpPr/>
          </xdr:nvGrpSpPr>
          <xdr:grpSpPr>
            <a:xfrm>
              <a:off x="18986984" y="1103467"/>
              <a:ext cx="3090633" cy="9815185"/>
              <a:chOff x="15785680" y="808347"/>
              <a:chExt cx="2437749" cy="7828821"/>
            </a:xfrm>
          </xdr:grpSpPr>
          <mc:AlternateContent xmlns:mc="http://schemas.openxmlformats.org/markup-compatibility/2006" xmlns:a14="http://schemas.microsoft.com/office/drawing/2010/main">
            <mc:Choice Requires="a14">
              <xdr:graphicFrame macro="">
                <xdr:nvGraphicFramePr>
                  <xdr:cNvPr id="9" name="Gender 2">
                    <a:extLst>
                      <a:ext uri="{FF2B5EF4-FFF2-40B4-BE49-F238E27FC236}">
                        <a16:creationId xmlns:a16="http://schemas.microsoft.com/office/drawing/2014/main" id="{6643DB59-5768-4D61-A6B9-5B5D8A2A639E}"/>
                      </a:ext>
                    </a:extLst>
                  </xdr:cNvPr>
                  <xdr:cNvGraphicFramePr/>
                </xdr:nvGraphicFramePr>
                <xdr:xfrm>
                  <a:off x="15785680" y="808347"/>
                  <a:ext cx="2411036" cy="1386043"/>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8822128" y="755437"/>
                    <a:ext cx="3056766" cy="1737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0" name="Doctor Name 3">
                    <a:extLst>
                      <a:ext uri="{FF2B5EF4-FFF2-40B4-BE49-F238E27FC236}">
                        <a16:creationId xmlns:a16="http://schemas.microsoft.com/office/drawing/2014/main" id="{A7ED0199-9273-4817-B8B1-47849C80A405}"/>
                      </a:ext>
                    </a:extLst>
                  </xdr:cNvPr>
                  <xdr:cNvGraphicFramePr/>
                </xdr:nvGraphicFramePr>
                <xdr:xfrm>
                  <a:off x="15815285" y="2366389"/>
                  <a:ext cx="2389990" cy="1988402"/>
                </xdr:xfrm>
                <a:graphic>
                  <a:graphicData uri="http://schemas.microsoft.com/office/drawing/2010/slicer">
                    <sle:slicer xmlns:sle="http://schemas.microsoft.com/office/drawing/2010/slicer" name="Doctor Name 3"/>
                  </a:graphicData>
                </a:graphic>
              </xdr:graphicFrame>
            </mc:Choice>
            <mc:Fallback xmlns="">
              <xdr:sp macro="" textlink="">
                <xdr:nvSpPr>
                  <xdr:cNvPr id="0" name=""/>
                  <xdr:cNvSpPr>
                    <a:spLocks noTextEdit="1"/>
                  </xdr:cNvSpPr>
                </xdr:nvSpPr>
                <xdr:spPr>
                  <a:xfrm>
                    <a:off x="18859662" y="2708792"/>
                    <a:ext cx="3030083" cy="24929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1" name="Treatment Type 2">
                    <a:extLst>
                      <a:ext uri="{FF2B5EF4-FFF2-40B4-BE49-F238E27FC236}">
                        <a16:creationId xmlns:a16="http://schemas.microsoft.com/office/drawing/2014/main" id="{861F6EF0-BD09-4D08-AA25-66DE8957E800}"/>
                      </a:ext>
                    </a:extLst>
                  </xdr:cNvPr>
                  <xdr:cNvGraphicFramePr/>
                </xdr:nvGraphicFramePr>
                <xdr:xfrm>
                  <a:off x="15839138" y="4508546"/>
                  <a:ext cx="2376943" cy="1678286"/>
                </xdr:xfrm>
                <a:graphic>
                  <a:graphicData uri="http://schemas.microsoft.com/office/drawing/2010/slicer">
                    <sle:slicer xmlns:sle="http://schemas.microsoft.com/office/drawing/2010/slicer" name="Treatment Type 2"/>
                  </a:graphicData>
                </a:graphic>
              </xdr:graphicFrame>
            </mc:Choice>
            <mc:Fallback xmlns="">
              <xdr:sp macro="" textlink="">
                <xdr:nvSpPr>
                  <xdr:cNvPr id="0" name=""/>
                  <xdr:cNvSpPr>
                    <a:spLocks noTextEdit="1"/>
                  </xdr:cNvSpPr>
                </xdr:nvSpPr>
                <xdr:spPr>
                  <a:xfrm>
                    <a:off x="18889903" y="5394467"/>
                    <a:ext cx="3013542" cy="21041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Department 2">
                    <a:extLst>
                      <a:ext uri="{FF2B5EF4-FFF2-40B4-BE49-F238E27FC236}">
                        <a16:creationId xmlns:a16="http://schemas.microsoft.com/office/drawing/2014/main" id="{0483BA32-B0FD-4D71-846D-1488BCE9650C}"/>
                      </a:ext>
                    </a:extLst>
                  </xdr:cNvPr>
                  <xdr:cNvGraphicFramePr/>
                </xdr:nvGraphicFramePr>
                <xdr:xfrm>
                  <a:off x="15858088" y="6343192"/>
                  <a:ext cx="2365341" cy="2293976"/>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18913928" y="7694608"/>
                    <a:ext cx="2998833" cy="28760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nvGrpSpPr>
            <xdr:cNvPr id="75" name="Group 74">
              <a:extLst>
                <a:ext uri="{FF2B5EF4-FFF2-40B4-BE49-F238E27FC236}">
                  <a16:creationId xmlns:a16="http://schemas.microsoft.com/office/drawing/2014/main" id="{1FA4C1A1-B94F-2A51-0259-3536654537B5}"/>
                </a:ext>
              </a:extLst>
            </xdr:cNvPr>
            <xdr:cNvGrpSpPr/>
          </xdr:nvGrpSpPr>
          <xdr:grpSpPr>
            <a:xfrm>
              <a:off x="1586328" y="7487859"/>
              <a:ext cx="16980764" cy="3469541"/>
              <a:chOff x="1586328" y="7487859"/>
              <a:chExt cx="16980764" cy="3469541"/>
            </a:xfrm>
          </xdr:grpSpPr>
          <xdr:grpSp>
            <xdr:nvGrpSpPr>
              <xdr:cNvPr id="74" name="Group 73">
                <a:extLst>
                  <a:ext uri="{FF2B5EF4-FFF2-40B4-BE49-F238E27FC236}">
                    <a16:creationId xmlns:a16="http://schemas.microsoft.com/office/drawing/2014/main" id="{70A945C5-8E01-4250-087F-28637D24181E}"/>
                  </a:ext>
                </a:extLst>
              </xdr:cNvPr>
              <xdr:cNvGrpSpPr/>
            </xdr:nvGrpSpPr>
            <xdr:grpSpPr>
              <a:xfrm>
                <a:off x="1586328" y="7505859"/>
                <a:ext cx="6137985" cy="3345146"/>
                <a:chOff x="1586328" y="7505859"/>
                <a:chExt cx="6137985" cy="3345146"/>
              </a:xfrm>
            </xdr:grpSpPr>
            <xdr:sp macro="" textlink="">
              <xdr:nvSpPr>
                <xdr:cNvPr id="17" name="TextBox 16">
                  <a:extLst>
                    <a:ext uri="{FF2B5EF4-FFF2-40B4-BE49-F238E27FC236}">
                      <a16:creationId xmlns:a16="http://schemas.microsoft.com/office/drawing/2014/main" id="{A23F7395-0B45-4DA1-B090-F5CD514C34AA}"/>
                    </a:ext>
                  </a:extLst>
                </xdr:cNvPr>
                <xdr:cNvSpPr txBox="1"/>
              </xdr:nvSpPr>
              <xdr:spPr>
                <a:xfrm>
                  <a:off x="1684116" y="7550003"/>
                  <a:ext cx="3799141" cy="38472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C544A"/>
                      </a:solidFill>
                      <a:effectLst/>
                      <a:latin typeface="+mn-lt"/>
                      <a:ea typeface="+mn-ea"/>
                      <a:cs typeface="+mn-cs"/>
                    </a:rPr>
                    <a:t>Avg Recovery </a:t>
                  </a:r>
                  <a:r>
                    <a:rPr lang="en-US" sz="1400" b="1" baseline="0">
                      <a:solidFill>
                        <a:srgbClr val="1C544A"/>
                      </a:solidFill>
                      <a:effectLst/>
                      <a:latin typeface="+mn-lt"/>
                      <a:ea typeface="+mn-ea"/>
                      <a:cs typeface="+mn-cs"/>
                    </a:rPr>
                    <a:t>Score By Treatment Type</a:t>
                  </a:r>
                  <a:endParaRPr lang="en-US" sz="1400">
                    <a:solidFill>
                      <a:srgbClr val="1C544A"/>
                    </a:solidFill>
                    <a:effectLst/>
                  </a:endParaRPr>
                </a:p>
              </xdr:txBody>
            </xdr:sp>
            <xdr:grpSp>
              <xdr:nvGrpSpPr>
                <xdr:cNvPr id="4" name="Group 3">
                  <a:extLst>
                    <a:ext uri="{FF2B5EF4-FFF2-40B4-BE49-F238E27FC236}">
                      <a16:creationId xmlns:a16="http://schemas.microsoft.com/office/drawing/2014/main" id="{AD5987EE-DA31-FC2D-A859-3EB5CC188D3A}"/>
                    </a:ext>
                  </a:extLst>
                </xdr:cNvPr>
                <xdr:cNvGrpSpPr/>
              </xdr:nvGrpSpPr>
              <xdr:grpSpPr>
                <a:xfrm>
                  <a:off x="1586328" y="7505859"/>
                  <a:ext cx="6137985" cy="3345146"/>
                  <a:chOff x="1381436" y="7187046"/>
                  <a:chExt cx="6446382" cy="3744000"/>
                </a:xfrm>
              </xdr:grpSpPr>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180B691D-5266-4D4E-9F0D-281B6F4CB99C}"/>
                          </a:ext>
                        </a:extLst>
                      </xdr:cNvPr>
                      <xdr:cNvGraphicFramePr/>
                    </xdr:nvGraphicFramePr>
                    <xdr:xfrm>
                      <a:off x="1437287" y="7657699"/>
                      <a:ext cx="6390531" cy="3271576"/>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437287" y="7657699"/>
                        <a:ext cx="6390531" cy="327157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3" name="Rectangle 2">
                    <a:extLst>
                      <a:ext uri="{FF2B5EF4-FFF2-40B4-BE49-F238E27FC236}">
                        <a16:creationId xmlns:a16="http://schemas.microsoft.com/office/drawing/2014/main" id="{2613A058-97F7-A3D9-7386-A4108E476681}"/>
                      </a:ext>
                    </a:extLst>
                  </xdr:cNvPr>
                  <xdr:cNvSpPr/>
                </xdr:nvSpPr>
                <xdr:spPr>
                  <a:xfrm>
                    <a:off x="1381436" y="7187046"/>
                    <a:ext cx="6408000" cy="3744000"/>
                  </a:xfrm>
                  <a:prstGeom prst="rect">
                    <a:avLst/>
                  </a:prstGeom>
                  <a:no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43" name="Group 42">
                <a:extLst>
                  <a:ext uri="{FF2B5EF4-FFF2-40B4-BE49-F238E27FC236}">
                    <a16:creationId xmlns:a16="http://schemas.microsoft.com/office/drawing/2014/main" id="{D0D3734D-A9E3-E01B-3A51-D9FBFAE209F3}"/>
                  </a:ext>
                </a:extLst>
              </xdr:cNvPr>
              <xdr:cNvGrpSpPr/>
            </xdr:nvGrpSpPr>
            <xdr:grpSpPr>
              <a:xfrm>
                <a:off x="13131092" y="7491054"/>
                <a:ext cx="5436000" cy="3466346"/>
                <a:chOff x="13180494" y="7599218"/>
                <a:chExt cx="5450928" cy="4029104"/>
              </a:xfrm>
            </xdr:grpSpPr>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B4190222-C682-4C93-AE24-C93389719B21}"/>
                        </a:ext>
                      </a:extLst>
                    </xdr:cNvPr>
                    <xdr:cNvGraphicFramePr/>
                  </xdr:nvGraphicFramePr>
                  <xdr:xfrm>
                    <a:off x="13180494" y="8165262"/>
                    <a:ext cx="5450928" cy="346306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3180494" y="8165262"/>
                      <a:ext cx="5450928" cy="34630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8" name="Rectangle 7">
                  <a:extLst>
                    <a:ext uri="{FF2B5EF4-FFF2-40B4-BE49-F238E27FC236}">
                      <a16:creationId xmlns:a16="http://schemas.microsoft.com/office/drawing/2014/main" id="{9511969A-15B3-4C6F-A32C-8D1CF19DA0A9}"/>
                    </a:ext>
                  </a:extLst>
                </xdr:cNvPr>
                <xdr:cNvSpPr/>
              </xdr:nvSpPr>
              <xdr:spPr>
                <a:xfrm>
                  <a:off x="13190612" y="7599218"/>
                  <a:ext cx="5414829" cy="3929205"/>
                </a:xfrm>
                <a:prstGeom prst="rect">
                  <a:avLst/>
                </a:prstGeom>
                <a:no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nvGrpSpPr>
              <xdr:cNvPr id="73" name="Group 72">
                <a:extLst>
                  <a:ext uri="{FF2B5EF4-FFF2-40B4-BE49-F238E27FC236}">
                    <a16:creationId xmlns:a16="http://schemas.microsoft.com/office/drawing/2014/main" id="{5CC241D2-2AAA-5E05-857B-976081FBCEF5}"/>
                  </a:ext>
                </a:extLst>
              </xdr:cNvPr>
              <xdr:cNvGrpSpPr/>
            </xdr:nvGrpSpPr>
            <xdr:grpSpPr>
              <a:xfrm>
                <a:off x="7944837" y="7487859"/>
                <a:ext cx="4966503" cy="3381146"/>
                <a:chOff x="7944837" y="7487859"/>
                <a:chExt cx="4966503" cy="3381146"/>
              </a:xfrm>
            </xdr:grpSpPr>
            <xdr:graphicFrame macro="">
              <xdr:nvGraphicFramePr>
                <xdr:cNvPr id="20" name="Chart 19">
                  <a:extLst>
                    <a:ext uri="{FF2B5EF4-FFF2-40B4-BE49-F238E27FC236}">
                      <a16:creationId xmlns:a16="http://schemas.microsoft.com/office/drawing/2014/main" id="{8D072E70-DB5A-46BF-B677-15FE6FDEB72B}"/>
                    </a:ext>
                  </a:extLst>
                </xdr:cNvPr>
                <xdr:cNvGraphicFramePr>
                  <a:graphicFrameLocks/>
                </xdr:cNvGraphicFramePr>
              </xdr:nvGraphicFramePr>
              <xdr:xfrm>
                <a:off x="7944837" y="7487859"/>
                <a:ext cx="4966503" cy="3381146"/>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44" name="TextBox 43">
                  <a:extLst>
                    <a:ext uri="{FF2B5EF4-FFF2-40B4-BE49-F238E27FC236}">
                      <a16:creationId xmlns:a16="http://schemas.microsoft.com/office/drawing/2014/main" id="{5BDEB506-BF83-4D16-86E9-2E6A58290F78}"/>
                    </a:ext>
                  </a:extLst>
                </xdr:cNvPr>
                <xdr:cNvSpPr txBox="1"/>
              </xdr:nvSpPr>
              <xdr:spPr>
                <a:xfrm>
                  <a:off x="8010646" y="7509017"/>
                  <a:ext cx="3779665" cy="37138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1C544A"/>
                      </a:solidFill>
                      <a:effectLst/>
                      <a:latin typeface="+mn-lt"/>
                      <a:ea typeface="+mn-ea"/>
                      <a:cs typeface="+mn-cs"/>
                    </a:rPr>
                    <a:t>Avg Recovery </a:t>
                  </a:r>
                  <a:r>
                    <a:rPr lang="en-US" sz="1400" b="1" baseline="0">
                      <a:solidFill>
                        <a:srgbClr val="1C544A"/>
                      </a:solidFill>
                      <a:effectLst/>
                      <a:latin typeface="+mn-lt"/>
                      <a:ea typeface="+mn-ea"/>
                      <a:cs typeface="+mn-cs"/>
                    </a:rPr>
                    <a:t>Score By Cost Category</a:t>
                  </a:r>
                  <a:endParaRPr lang="en-US" sz="1400" b="1">
                    <a:solidFill>
                      <a:srgbClr val="1C544A"/>
                    </a:solidFill>
                  </a:endParaRPr>
                </a:p>
              </xdr:txBody>
            </xdr:sp>
          </xdr:grpSp>
        </xdr:grpSp>
        <xdr:grpSp>
          <xdr:nvGrpSpPr>
            <xdr:cNvPr id="56" name="Group 55">
              <a:extLst>
                <a:ext uri="{FF2B5EF4-FFF2-40B4-BE49-F238E27FC236}">
                  <a16:creationId xmlns:a16="http://schemas.microsoft.com/office/drawing/2014/main" id="{9F70353B-025B-A56D-F589-664B9762D01D}"/>
                </a:ext>
              </a:extLst>
            </xdr:cNvPr>
            <xdr:cNvGrpSpPr/>
          </xdr:nvGrpSpPr>
          <xdr:grpSpPr>
            <a:xfrm>
              <a:off x="1662512" y="2282570"/>
              <a:ext cx="16880835" cy="1386886"/>
              <a:chOff x="1686217" y="2456404"/>
              <a:chExt cx="17212701" cy="1415619"/>
            </a:xfrm>
          </xdr:grpSpPr>
          <xdr:sp macro="" textlink="">
            <xdr:nvSpPr>
              <xdr:cNvPr id="22" name="Rectangle 21">
                <a:extLst>
                  <a:ext uri="{FF2B5EF4-FFF2-40B4-BE49-F238E27FC236}">
                    <a16:creationId xmlns:a16="http://schemas.microsoft.com/office/drawing/2014/main" id="{A4454022-8F4F-42CA-BFA9-3DE512D113F2}"/>
                  </a:ext>
                </a:extLst>
              </xdr:cNvPr>
              <xdr:cNvSpPr/>
            </xdr:nvSpPr>
            <xdr:spPr>
              <a:xfrm>
                <a:off x="1686217" y="2538670"/>
                <a:ext cx="3264013" cy="1333353"/>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a:solidFill>
                    <a:schemeClr val="tx2">
                      <a:lumMod val="90000"/>
                      <a:lumOff val="10000"/>
                    </a:schemeClr>
                  </a:solidFill>
                  <a:latin typeface="+mn-lt"/>
                  <a:ea typeface="+mn-ea"/>
                  <a:cs typeface="+mn-cs"/>
                </a:endParaRPr>
              </a:p>
            </xdr:txBody>
          </xdr:sp>
          <xdr:sp macro="" textlink="Design_Sheet!B5">
            <xdr:nvSpPr>
              <xdr:cNvPr id="23" name="TextBox 22">
                <a:extLst>
                  <a:ext uri="{FF2B5EF4-FFF2-40B4-BE49-F238E27FC236}">
                    <a16:creationId xmlns:a16="http://schemas.microsoft.com/office/drawing/2014/main" id="{E9DA15B4-3DBC-4F66-9609-899299C70774}"/>
                  </a:ext>
                </a:extLst>
              </xdr:cNvPr>
              <xdr:cNvSpPr txBox="1"/>
            </xdr:nvSpPr>
            <xdr:spPr>
              <a:xfrm>
                <a:off x="3014665" y="3076815"/>
                <a:ext cx="1255859" cy="54642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7C4E2FF3-324F-44D1-BCFD-B64A3295EEB7}" type="TxLink">
                  <a:rPr lang="en-US" sz="3600" b="1" i="0" u="none" strike="noStrike">
                    <a:solidFill>
                      <a:srgbClr val="1C544A"/>
                    </a:solidFill>
                    <a:latin typeface="+mj-lt"/>
                  </a:rPr>
                  <a:pPr algn="r"/>
                  <a:t>200</a:t>
                </a:fld>
                <a:endParaRPr lang="en-US" sz="3600" b="1">
                  <a:solidFill>
                    <a:srgbClr val="1C544A"/>
                  </a:solidFill>
                  <a:latin typeface="+mj-lt"/>
                </a:endParaRPr>
              </a:p>
            </xdr:txBody>
          </xdr:sp>
          <xdr:sp macro="" textlink="">
            <xdr:nvSpPr>
              <xdr:cNvPr id="24" name="TextBox 23">
                <a:extLst>
                  <a:ext uri="{FF2B5EF4-FFF2-40B4-BE49-F238E27FC236}">
                    <a16:creationId xmlns:a16="http://schemas.microsoft.com/office/drawing/2014/main" id="{DA972A4B-2562-43BF-B648-3FFD1AF888BC}"/>
                  </a:ext>
                </a:extLst>
              </xdr:cNvPr>
              <xdr:cNvSpPr txBox="1"/>
            </xdr:nvSpPr>
            <xdr:spPr>
              <a:xfrm>
                <a:off x="2081845" y="2568549"/>
                <a:ext cx="2472757" cy="492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baseline="0">
                    <a:solidFill>
                      <a:srgbClr val="1C544A"/>
                    </a:solidFill>
                  </a:rPr>
                  <a:t>Patient </a:t>
                </a:r>
                <a:r>
                  <a:rPr lang="en-US" sz="2800" b="1" baseline="0">
                    <a:solidFill>
                      <a:srgbClr val="1C544A"/>
                    </a:solidFill>
                    <a:latin typeface="+mj-lt"/>
                  </a:rPr>
                  <a:t>Count</a:t>
                </a:r>
                <a:endParaRPr lang="en-US" sz="2800" b="1">
                  <a:solidFill>
                    <a:srgbClr val="1C544A"/>
                  </a:solidFill>
                  <a:latin typeface="+mj-lt"/>
                </a:endParaRPr>
              </a:p>
            </xdr:txBody>
          </xdr:sp>
          <xdr:pic>
            <xdr:nvPicPr>
              <xdr:cNvPr id="25" name="Graphic 24" descr="Users with solid fill">
                <a:extLst>
                  <a:ext uri="{FF2B5EF4-FFF2-40B4-BE49-F238E27FC236}">
                    <a16:creationId xmlns:a16="http://schemas.microsoft.com/office/drawing/2014/main" id="{0BE94D37-0396-4F12-83D8-C6B7000B270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92239" y="2971758"/>
                <a:ext cx="907782" cy="881323"/>
              </a:xfrm>
              <a:prstGeom prst="rect">
                <a:avLst/>
              </a:prstGeom>
            </xdr:spPr>
          </xdr:pic>
          <xdr:sp macro="" textlink="">
            <xdr:nvSpPr>
              <xdr:cNvPr id="26" name="Rectangle 25">
                <a:extLst>
                  <a:ext uri="{FF2B5EF4-FFF2-40B4-BE49-F238E27FC236}">
                    <a16:creationId xmlns:a16="http://schemas.microsoft.com/office/drawing/2014/main" id="{FE35F5C9-83D8-4BC2-82D4-B741D01AD09F}"/>
                  </a:ext>
                </a:extLst>
              </xdr:cNvPr>
              <xdr:cNvSpPr/>
            </xdr:nvSpPr>
            <xdr:spPr>
              <a:xfrm>
                <a:off x="5171079" y="2538670"/>
                <a:ext cx="3260010" cy="1333353"/>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a:solidFill>
                    <a:schemeClr val="tx2">
                      <a:lumMod val="90000"/>
                      <a:lumOff val="10000"/>
                    </a:schemeClr>
                  </a:solidFill>
                  <a:latin typeface="+mn-lt"/>
                  <a:ea typeface="+mn-ea"/>
                  <a:cs typeface="+mn-cs"/>
                </a:endParaRPr>
              </a:p>
            </xdr:txBody>
          </xdr:sp>
          <xdr:sp macro="" textlink="Design_Sheet!C5">
            <xdr:nvSpPr>
              <xdr:cNvPr id="27" name="TextBox 26">
                <a:extLst>
                  <a:ext uri="{FF2B5EF4-FFF2-40B4-BE49-F238E27FC236}">
                    <a16:creationId xmlns:a16="http://schemas.microsoft.com/office/drawing/2014/main" id="{85B27D6B-1DCB-473C-913B-FB482F048EA8}"/>
                  </a:ext>
                </a:extLst>
              </xdr:cNvPr>
              <xdr:cNvSpPr txBox="1"/>
            </xdr:nvSpPr>
            <xdr:spPr>
              <a:xfrm>
                <a:off x="6573291" y="3096537"/>
                <a:ext cx="1525912" cy="634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51CEC21-E7BD-48C5-AC4F-81AE859EC26A}" type="TxLink">
                  <a:rPr lang="en-US" sz="3600" b="1" i="0" u="none" strike="noStrike">
                    <a:solidFill>
                      <a:srgbClr val="1C544A"/>
                    </a:solidFill>
                    <a:latin typeface="+mj-lt"/>
                    <a:ea typeface="+mn-ea"/>
                    <a:cs typeface="+mn-cs"/>
                  </a:rPr>
                  <a:pPr marL="0" indent="0" algn="r"/>
                  <a:t>79.7K</a:t>
                </a:fld>
                <a:endParaRPr lang="en-US" sz="3600" b="1" i="0" u="none" strike="noStrike">
                  <a:solidFill>
                    <a:srgbClr val="1C544A"/>
                  </a:solidFill>
                  <a:latin typeface="+mj-lt"/>
                  <a:ea typeface="+mn-ea"/>
                  <a:cs typeface="+mn-cs"/>
                </a:endParaRPr>
              </a:p>
            </xdr:txBody>
          </xdr:sp>
          <xdr:pic>
            <xdr:nvPicPr>
              <xdr:cNvPr id="28" name="Graphic 27" descr="Money with solid fill">
                <a:extLst>
                  <a:ext uri="{FF2B5EF4-FFF2-40B4-BE49-F238E27FC236}">
                    <a16:creationId xmlns:a16="http://schemas.microsoft.com/office/drawing/2014/main" id="{84272773-7EC2-4948-9A20-CCCE026E767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604027" y="2951888"/>
                <a:ext cx="873201" cy="849059"/>
              </a:xfrm>
              <a:prstGeom prst="rect">
                <a:avLst/>
              </a:prstGeom>
            </xdr:spPr>
          </xdr:pic>
          <xdr:sp macro="" textlink="">
            <xdr:nvSpPr>
              <xdr:cNvPr id="29" name="TextBox 28">
                <a:extLst>
                  <a:ext uri="{FF2B5EF4-FFF2-40B4-BE49-F238E27FC236}">
                    <a16:creationId xmlns:a16="http://schemas.microsoft.com/office/drawing/2014/main" id="{7759CF7C-A9B9-4740-B095-F1D88CAFCEA1}"/>
                  </a:ext>
                </a:extLst>
              </xdr:cNvPr>
              <xdr:cNvSpPr txBox="1"/>
            </xdr:nvSpPr>
            <xdr:spPr>
              <a:xfrm>
                <a:off x="5203231" y="2591227"/>
                <a:ext cx="3189976" cy="505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1C544A"/>
                    </a:solidFill>
                  </a:rPr>
                  <a:t>Avg </a:t>
                </a:r>
                <a:r>
                  <a:rPr lang="en-US" sz="2800" b="1">
                    <a:solidFill>
                      <a:srgbClr val="1C544A"/>
                    </a:solidFill>
                    <a:latin typeface="+mj-lt"/>
                  </a:rPr>
                  <a:t>Treat</a:t>
                </a:r>
                <a:r>
                  <a:rPr lang="en-US" sz="2800" b="1" baseline="0">
                    <a:solidFill>
                      <a:srgbClr val="1C544A"/>
                    </a:solidFill>
                    <a:latin typeface="+mj-lt"/>
                  </a:rPr>
                  <a:t>ment</a:t>
                </a:r>
                <a:r>
                  <a:rPr lang="en-US" sz="2800" b="1" baseline="0">
                    <a:solidFill>
                      <a:srgbClr val="1C544A"/>
                    </a:solidFill>
                  </a:rPr>
                  <a:t> Cost</a:t>
                </a:r>
                <a:endParaRPr lang="en-US" sz="2800" b="1">
                  <a:solidFill>
                    <a:srgbClr val="1C544A"/>
                  </a:solidFill>
                </a:endParaRPr>
              </a:p>
            </xdr:txBody>
          </xdr:sp>
          <xdr:sp macro="" textlink="">
            <xdr:nvSpPr>
              <xdr:cNvPr id="30" name="Rectangle 29">
                <a:extLst>
                  <a:ext uri="{FF2B5EF4-FFF2-40B4-BE49-F238E27FC236}">
                    <a16:creationId xmlns:a16="http://schemas.microsoft.com/office/drawing/2014/main" id="{29D194EB-B23F-4203-A6CB-CBE25280117A}"/>
                  </a:ext>
                </a:extLst>
              </xdr:cNvPr>
              <xdr:cNvSpPr/>
            </xdr:nvSpPr>
            <xdr:spPr>
              <a:xfrm>
                <a:off x="8664563" y="2538670"/>
                <a:ext cx="3260011" cy="1333353"/>
              </a:xfrm>
              <a:prstGeom prst="rect">
                <a:avLst/>
              </a:prstGeom>
              <a:solidFill>
                <a:schemeClr val="lt1"/>
              </a:solid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r>
                  <a:rPr lang="en-US" sz="2800" b="1" i="0" u="none" strike="noStrike">
                    <a:solidFill>
                      <a:srgbClr val="1C544A"/>
                    </a:solidFill>
                    <a:latin typeface="+mj-lt"/>
                    <a:ea typeface="+mn-ea"/>
                    <a:cs typeface="+mn-cs"/>
                  </a:rPr>
                  <a:t> </a:t>
                </a:r>
              </a:p>
            </xdr:txBody>
          </xdr:sp>
          <xdr:sp macro="" textlink="Design_Sheet!D5">
            <xdr:nvSpPr>
              <xdr:cNvPr id="31" name="TextBox 30">
                <a:extLst>
                  <a:ext uri="{FF2B5EF4-FFF2-40B4-BE49-F238E27FC236}">
                    <a16:creationId xmlns:a16="http://schemas.microsoft.com/office/drawing/2014/main" id="{F89A00AC-3225-4B13-9359-40BBE3D07189}"/>
                  </a:ext>
                </a:extLst>
              </xdr:cNvPr>
              <xdr:cNvSpPr txBox="1"/>
            </xdr:nvSpPr>
            <xdr:spPr>
              <a:xfrm>
                <a:off x="10019566" y="3074215"/>
                <a:ext cx="1288677" cy="522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1FB6DF4C-7B15-4901-AC8E-02D25657016A}" type="TxLink">
                  <a:rPr lang="en-US" sz="3600" b="1" i="0" u="none" strike="noStrike">
                    <a:solidFill>
                      <a:srgbClr val="1C544A"/>
                    </a:solidFill>
                    <a:latin typeface="Aptos Narrow"/>
                    <a:ea typeface="+mn-ea"/>
                    <a:cs typeface="+mn-cs"/>
                  </a:rPr>
                  <a:pPr marL="0" indent="0" algn="r"/>
                  <a:t>41.71</a:t>
                </a:fld>
                <a:endParaRPr lang="en-US" sz="3600" b="1" i="0" u="none" strike="noStrike">
                  <a:solidFill>
                    <a:srgbClr val="1C544A"/>
                  </a:solidFill>
                  <a:latin typeface="Aptos Narrow"/>
                  <a:ea typeface="+mn-ea"/>
                  <a:cs typeface="+mn-cs"/>
                </a:endParaRPr>
              </a:p>
            </xdr:txBody>
          </xdr:sp>
          <xdr:pic>
            <xdr:nvPicPr>
              <xdr:cNvPr id="32" name="Graphic 31" descr="Daily calendar with solid fill">
                <a:extLst>
                  <a:ext uri="{FF2B5EF4-FFF2-40B4-BE49-F238E27FC236}">
                    <a16:creationId xmlns:a16="http://schemas.microsoft.com/office/drawing/2014/main" id="{D4DFE75A-5D63-4A24-AFBC-1CB44FE0D6A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034935" y="3025588"/>
                <a:ext cx="788273" cy="770517"/>
              </a:xfrm>
              <a:prstGeom prst="rect">
                <a:avLst/>
              </a:prstGeom>
            </xdr:spPr>
          </xdr:pic>
          <xdr:sp macro="" textlink="">
            <xdr:nvSpPr>
              <xdr:cNvPr id="33" name="TextBox 32">
                <a:extLst>
                  <a:ext uri="{FF2B5EF4-FFF2-40B4-BE49-F238E27FC236}">
                    <a16:creationId xmlns:a16="http://schemas.microsoft.com/office/drawing/2014/main" id="{05E3252A-A527-44A2-A9F7-9EF760C39FBC}"/>
                  </a:ext>
                </a:extLst>
              </xdr:cNvPr>
              <xdr:cNvSpPr txBox="1"/>
            </xdr:nvSpPr>
            <xdr:spPr>
              <a:xfrm>
                <a:off x="8824077" y="2564013"/>
                <a:ext cx="2994929" cy="505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1C544A"/>
                    </a:solidFill>
                    <a:latin typeface="+mj-lt"/>
                  </a:rPr>
                  <a:t>Avg</a:t>
                </a:r>
                <a:r>
                  <a:rPr lang="en-US" sz="2800" b="1" baseline="0">
                    <a:solidFill>
                      <a:srgbClr val="1C544A"/>
                    </a:solidFill>
                    <a:latin typeface="+mj-lt"/>
                  </a:rPr>
                  <a:t> Patient Age</a:t>
                </a:r>
                <a:endParaRPr lang="en-US" sz="2800" b="1">
                  <a:solidFill>
                    <a:srgbClr val="1C544A"/>
                  </a:solidFill>
                  <a:latin typeface="+mj-lt"/>
                </a:endParaRPr>
              </a:p>
            </xdr:txBody>
          </xdr:sp>
          <xdr:sp macro="" textlink="">
            <xdr:nvSpPr>
              <xdr:cNvPr id="34" name="Rectangle 33">
                <a:extLst>
                  <a:ext uri="{FF2B5EF4-FFF2-40B4-BE49-F238E27FC236}">
                    <a16:creationId xmlns:a16="http://schemas.microsoft.com/office/drawing/2014/main" id="{075EC9F8-CD33-4423-9086-CAF84BF845B1}"/>
                  </a:ext>
                </a:extLst>
              </xdr:cNvPr>
              <xdr:cNvSpPr/>
            </xdr:nvSpPr>
            <xdr:spPr>
              <a:xfrm>
                <a:off x="12145423" y="2538670"/>
                <a:ext cx="3272636" cy="1333353"/>
              </a:xfrm>
              <a:prstGeom prst="rect">
                <a:avLst/>
              </a:prstGeom>
              <a:solidFill>
                <a:schemeClr val="bg1"/>
              </a:solidFill>
              <a:ln>
                <a:noFill/>
              </a:ln>
              <a:effectLst>
                <a:outerShdw blurRad="50800" dist="38100" dir="2700000" algn="tl" rotWithShape="0">
                  <a:prstClr val="black">
                    <a:alpha val="40000"/>
                  </a:prst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b="1">
                  <a:solidFill>
                    <a:schemeClr val="tx2">
                      <a:lumMod val="90000"/>
                      <a:lumOff val="10000"/>
                    </a:schemeClr>
                  </a:solidFill>
                  <a:latin typeface="+mn-lt"/>
                  <a:ea typeface="+mn-ea"/>
                  <a:cs typeface="+mn-cs"/>
                </a:endParaRPr>
              </a:p>
            </xdr:txBody>
          </xdr:sp>
          <xdr:sp macro="" textlink="Design_Sheet!E5">
            <xdr:nvSpPr>
              <xdr:cNvPr id="35" name="TextBox 34">
                <a:extLst>
                  <a:ext uri="{FF2B5EF4-FFF2-40B4-BE49-F238E27FC236}">
                    <a16:creationId xmlns:a16="http://schemas.microsoft.com/office/drawing/2014/main" id="{658B873B-BB7A-4664-A7CB-B7691318674C}"/>
                  </a:ext>
                </a:extLst>
              </xdr:cNvPr>
              <xdr:cNvSpPr txBox="1"/>
            </xdr:nvSpPr>
            <xdr:spPr>
              <a:xfrm>
                <a:off x="13312622" y="3077274"/>
                <a:ext cx="1489818" cy="55450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96E8F9D1-A331-4108-97F4-2A24C849FE14}" type="TxLink">
                  <a:rPr lang="en-US" sz="3600" b="1" i="0" u="none" strike="noStrike">
                    <a:solidFill>
                      <a:srgbClr val="1C544A"/>
                    </a:solidFill>
                    <a:latin typeface="+mj-lt"/>
                    <a:ea typeface="+mn-ea"/>
                    <a:cs typeface="+mn-cs"/>
                  </a:rPr>
                  <a:pPr marL="0" indent="0" algn="r"/>
                  <a:t>16.02</a:t>
                </a:fld>
                <a:endParaRPr lang="en-US" sz="3600" b="1" i="0" u="none" strike="noStrike">
                  <a:solidFill>
                    <a:srgbClr val="1C544A"/>
                  </a:solidFill>
                  <a:latin typeface="+mj-lt"/>
                  <a:ea typeface="+mn-ea"/>
                  <a:cs typeface="+mn-cs"/>
                </a:endParaRPr>
              </a:p>
            </xdr:txBody>
          </xdr:sp>
          <xdr:pic>
            <xdr:nvPicPr>
              <xdr:cNvPr id="36" name="Graphic 35" descr="Clock with solid fill">
                <a:extLst>
                  <a:ext uri="{FF2B5EF4-FFF2-40B4-BE49-F238E27FC236}">
                    <a16:creationId xmlns:a16="http://schemas.microsoft.com/office/drawing/2014/main" id="{102D6550-F0A3-4395-BEBC-D5A5103E274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426901" y="2995203"/>
                <a:ext cx="821330" cy="771233"/>
              </a:xfrm>
              <a:prstGeom prst="rect">
                <a:avLst/>
              </a:prstGeom>
            </xdr:spPr>
          </xdr:pic>
          <xdr:sp macro="" textlink="">
            <xdr:nvSpPr>
              <xdr:cNvPr id="38" name="Rectangle 37">
                <a:extLst>
                  <a:ext uri="{FF2B5EF4-FFF2-40B4-BE49-F238E27FC236}">
                    <a16:creationId xmlns:a16="http://schemas.microsoft.com/office/drawing/2014/main" id="{FC4B8D0B-A139-443C-929A-D8872E38F4E0}"/>
                  </a:ext>
                </a:extLst>
              </xdr:cNvPr>
              <xdr:cNvSpPr/>
            </xdr:nvSpPr>
            <xdr:spPr>
              <a:xfrm>
                <a:off x="15638907" y="2538670"/>
                <a:ext cx="3260011" cy="1333353"/>
              </a:xfrm>
              <a:prstGeom prst="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a:solidFill>
                      <a:schemeClr val="tx2">
                        <a:lumMod val="90000"/>
                        <a:lumOff val="10000"/>
                      </a:schemeClr>
                    </a:solidFill>
                    <a:latin typeface="+mn-lt"/>
                    <a:ea typeface="+mn-ea"/>
                    <a:cs typeface="+mn-cs"/>
                  </a:rPr>
                  <a:t>	</a:t>
                </a:r>
              </a:p>
            </xdr:txBody>
          </xdr:sp>
          <xdr:sp macro="" textlink="Design_Sheet!F5">
            <xdr:nvSpPr>
              <xdr:cNvPr id="39" name="TextBox 38">
                <a:extLst>
                  <a:ext uri="{FF2B5EF4-FFF2-40B4-BE49-F238E27FC236}">
                    <a16:creationId xmlns:a16="http://schemas.microsoft.com/office/drawing/2014/main" id="{F554E136-02FE-4AFF-AFCB-F0D54559D562}"/>
                  </a:ext>
                </a:extLst>
              </xdr:cNvPr>
              <xdr:cNvSpPr txBox="1"/>
            </xdr:nvSpPr>
            <xdr:spPr>
              <a:xfrm>
                <a:off x="16892220" y="3044650"/>
                <a:ext cx="1422853" cy="5068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71A01F0-5CA4-4417-B22E-4D044F5B1E73}" type="TxLink">
                  <a:rPr lang="en-US" sz="3600" b="1" i="0" u="none" strike="noStrike">
                    <a:solidFill>
                      <a:srgbClr val="1C544A"/>
                    </a:solidFill>
                    <a:latin typeface="+mj-lt"/>
                    <a:ea typeface="+mn-ea"/>
                    <a:cs typeface="+mn-cs"/>
                  </a:rPr>
                  <a:pPr marL="0" indent="0" algn="r"/>
                  <a:t>70.38</a:t>
                </a:fld>
                <a:endParaRPr lang="en-US" sz="3600" b="1" i="0" u="none" strike="noStrike">
                  <a:solidFill>
                    <a:srgbClr val="1C544A"/>
                  </a:solidFill>
                  <a:latin typeface="+mj-lt"/>
                  <a:ea typeface="+mn-ea"/>
                  <a:cs typeface="+mn-cs"/>
                </a:endParaRPr>
              </a:p>
            </xdr:txBody>
          </xdr:sp>
          <xdr:sp macro="" textlink="">
            <xdr:nvSpPr>
              <xdr:cNvPr id="40" name="TextBox 39">
                <a:extLst>
                  <a:ext uri="{FF2B5EF4-FFF2-40B4-BE49-F238E27FC236}">
                    <a16:creationId xmlns:a16="http://schemas.microsoft.com/office/drawing/2014/main" id="{288E5F1F-6E17-414F-A91B-EEDA5B35C9EC}"/>
                  </a:ext>
                </a:extLst>
              </xdr:cNvPr>
              <xdr:cNvSpPr txBox="1"/>
            </xdr:nvSpPr>
            <xdr:spPr>
              <a:xfrm>
                <a:off x="15689026" y="2456404"/>
                <a:ext cx="3159772" cy="7299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rgbClr val="1C544A"/>
                    </a:solidFill>
                  </a:rPr>
                  <a:t>Avg</a:t>
                </a:r>
                <a:r>
                  <a:rPr lang="en-US" sz="2800" b="1" baseline="0">
                    <a:solidFill>
                      <a:srgbClr val="1C544A"/>
                    </a:solidFill>
                  </a:rPr>
                  <a:t> Recovery Score</a:t>
                </a:r>
                <a:endParaRPr lang="en-US" sz="2800" b="1">
                  <a:solidFill>
                    <a:srgbClr val="1C544A"/>
                  </a:solidFill>
                </a:endParaRPr>
              </a:p>
            </xdr:txBody>
          </xdr:sp>
          <xdr:pic>
            <xdr:nvPicPr>
              <xdr:cNvPr id="41" name="Graphic 40" descr="Heart with pulse with solid fill">
                <a:extLst>
                  <a:ext uri="{FF2B5EF4-FFF2-40B4-BE49-F238E27FC236}">
                    <a16:creationId xmlns:a16="http://schemas.microsoft.com/office/drawing/2014/main" id="{89D63B3C-FD4E-43F5-BEEF-482453CE70E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915017" y="2941301"/>
                <a:ext cx="859045" cy="845323"/>
              </a:xfrm>
              <a:prstGeom prst="rect">
                <a:avLst/>
              </a:prstGeom>
            </xdr:spPr>
          </xdr:pic>
          <xdr:sp macro="" textlink="">
            <xdr:nvSpPr>
              <xdr:cNvPr id="46" name="TextBox 45">
                <a:extLst>
                  <a:ext uri="{FF2B5EF4-FFF2-40B4-BE49-F238E27FC236}">
                    <a16:creationId xmlns:a16="http://schemas.microsoft.com/office/drawing/2014/main" id="{B38F5C4B-D527-436D-B1F7-5850982163CC}"/>
                  </a:ext>
                </a:extLst>
              </xdr:cNvPr>
              <xdr:cNvSpPr txBox="1"/>
            </xdr:nvSpPr>
            <xdr:spPr>
              <a:xfrm>
                <a:off x="12239261" y="2509583"/>
                <a:ext cx="3089414" cy="6147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a:solidFill>
                      <a:srgbClr val="1C544A"/>
                    </a:solidFill>
                    <a:latin typeface="+mj-lt"/>
                  </a:rPr>
                  <a:t>Avg</a:t>
                </a:r>
                <a:r>
                  <a:rPr lang="en-US" sz="2800" b="1" baseline="0">
                    <a:solidFill>
                      <a:srgbClr val="1C544A"/>
                    </a:solidFill>
                    <a:latin typeface="+mj-lt"/>
                  </a:rPr>
                  <a:t> Stay (Days)</a:t>
                </a:r>
                <a:endParaRPr lang="en-US" sz="2800" b="1">
                  <a:solidFill>
                    <a:srgbClr val="1C544A"/>
                  </a:solidFill>
                  <a:latin typeface="+mj-lt"/>
                </a:endParaRPr>
              </a:p>
            </xdr:txBody>
          </xdr:sp>
        </xdr:grpSp>
        <xdr:grpSp>
          <xdr:nvGrpSpPr>
            <xdr:cNvPr id="54" name="Group 53">
              <a:extLst>
                <a:ext uri="{FF2B5EF4-FFF2-40B4-BE49-F238E27FC236}">
                  <a16:creationId xmlns:a16="http://schemas.microsoft.com/office/drawing/2014/main" id="{231F63AE-E4D5-78EC-BDD6-4F2D599EFF8D}"/>
                </a:ext>
              </a:extLst>
            </xdr:cNvPr>
            <xdr:cNvGrpSpPr/>
          </xdr:nvGrpSpPr>
          <xdr:grpSpPr>
            <a:xfrm>
              <a:off x="1593606" y="785779"/>
              <a:ext cx="16883535" cy="1192512"/>
              <a:chOff x="1593606" y="785779"/>
              <a:chExt cx="16883535" cy="1192512"/>
            </a:xfrm>
          </xdr:grpSpPr>
          <xdr:sp macro="" textlink="">
            <xdr:nvSpPr>
              <xdr:cNvPr id="5" name="Rectangle: Top Corners Rounded 4">
                <a:extLst>
                  <a:ext uri="{FF2B5EF4-FFF2-40B4-BE49-F238E27FC236}">
                    <a16:creationId xmlns:a16="http://schemas.microsoft.com/office/drawing/2014/main" id="{614928B4-64B1-42FE-A3BE-5B7D384B75B2}"/>
                  </a:ext>
                </a:extLst>
              </xdr:cNvPr>
              <xdr:cNvSpPr/>
            </xdr:nvSpPr>
            <xdr:spPr>
              <a:xfrm>
                <a:off x="1593606" y="884227"/>
                <a:ext cx="16883535" cy="1018467"/>
              </a:xfrm>
              <a:prstGeom prst="round2SameRect">
                <a:avLst/>
              </a:prstGeom>
              <a:solidFill>
                <a:schemeClr val="bg1"/>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solidFill>
                    <a:schemeClr val="tx2">
                      <a:lumMod val="90000"/>
                      <a:lumOff val="10000"/>
                    </a:schemeClr>
                  </a:solidFill>
                </a:endParaRPr>
              </a:p>
            </xdr:txBody>
          </xdr:sp>
          <xdr:sp macro="" textlink="">
            <xdr:nvSpPr>
              <xdr:cNvPr id="6" name="TextBox 5">
                <a:extLst>
                  <a:ext uri="{FF2B5EF4-FFF2-40B4-BE49-F238E27FC236}">
                    <a16:creationId xmlns:a16="http://schemas.microsoft.com/office/drawing/2014/main" id="{D6AB6991-F66F-468C-91F2-915AD9CA1560}"/>
                  </a:ext>
                </a:extLst>
              </xdr:cNvPr>
              <xdr:cNvSpPr txBox="1"/>
            </xdr:nvSpPr>
            <xdr:spPr>
              <a:xfrm>
                <a:off x="3231780" y="884227"/>
                <a:ext cx="14673904" cy="883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rgbClr val="1C544A"/>
                    </a:solidFill>
                    <a:latin typeface="+mj-lt"/>
                  </a:rPr>
                  <a:t>Hospital</a:t>
                </a:r>
                <a:r>
                  <a:rPr lang="en-US" sz="4400" b="1" baseline="0">
                    <a:solidFill>
                      <a:srgbClr val="1C544A"/>
                    </a:solidFill>
                    <a:latin typeface="+mj-lt"/>
                  </a:rPr>
                  <a:t> Patient Treatment Data  - Recovery Analysis</a:t>
                </a:r>
                <a:endParaRPr lang="en-US" sz="4400" b="1">
                  <a:solidFill>
                    <a:srgbClr val="1C544A"/>
                  </a:solidFill>
                  <a:latin typeface="+mj-lt"/>
                </a:endParaRPr>
              </a:p>
            </xdr:txBody>
          </xdr:sp>
          <xdr:pic>
            <xdr:nvPicPr>
              <xdr:cNvPr id="45" name="Picture 44">
                <a:extLst>
                  <a:ext uri="{FF2B5EF4-FFF2-40B4-BE49-F238E27FC236}">
                    <a16:creationId xmlns:a16="http://schemas.microsoft.com/office/drawing/2014/main" id="{EE904160-C6BB-EB20-DFCE-B5A885CC79FF}"/>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949372" y="785779"/>
                <a:ext cx="1277803" cy="1192512"/>
              </a:xfrm>
              <a:prstGeom prst="rect">
                <a:avLst/>
              </a:prstGeom>
            </xdr:spPr>
          </xdr:pic>
        </xdr:grpSp>
        <xdr:grpSp>
          <xdr:nvGrpSpPr>
            <xdr:cNvPr id="62" name="Group 61">
              <a:extLst>
                <a:ext uri="{FF2B5EF4-FFF2-40B4-BE49-F238E27FC236}">
                  <a16:creationId xmlns:a16="http://schemas.microsoft.com/office/drawing/2014/main" id="{8B28EC97-0D32-F0FC-9440-1C9A0D83EB67}"/>
                </a:ext>
              </a:extLst>
            </xdr:cNvPr>
            <xdr:cNvGrpSpPr/>
          </xdr:nvGrpSpPr>
          <xdr:grpSpPr>
            <a:xfrm>
              <a:off x="1606023" y="4057681"/>
              <a:ext cx="16935098" cy="3205431"/>
              <a:chOff x="1606023" y="4057681"/>
              <a:chExt cx="16935098" cy="3205431"/>
            </a:xfrm>
          </xdr:grpSpPr>
          <xdr:grpSp>
            <xdr:nvGrpSpPr>
              <xdr:cNvPr id="59" name="Group 58">
                <a:extLst>
                  <a:ext uri="{FF2B5EF4-FFF2-40B4-BE49-F238E27FC236}">
                    <a16:creationId xmlns:a16="http://schemas.microsoft.com/office/drawing/2014/main" id="{ACA39EFA-21BA-935F-EC8C-D7767BC99D82}"/>
                  </a:ext>
                </a:extLst>
              </xdr:cNvPr>
              <xdr:cNvGrpSpPr/>
            </xdr:nvGrpSpPr>
            <xdr:grpSpPr>
              <a:xfrm>
                <a:off x="7956230" y="4083455"/>
                <a:ext cx="4977198" cy="3179657"/>
                <a:chOff x="7956230" y="4083455"/>
                <a:chExt cx="4977198" cy="3179657"/>
              </a:xfrm>
            </xdr:grpSpPr>
            <xdr:graphicFrame macro="">
              <xdr:nvGraphicFramePr>
                <xdr:cNvPr id="14" name="Chart 13">
                  <a:extLst>
                    <a:ext uri="{FF2B5EF4-FFF2-40B4-BE49-F238E27FC236}">
                      <a16:creationId xmlns:a16="http://schemas.microsoft.com/office/drawing/2014/main" id="{34C286A7-20CA-45A9-AC4E-A0A19EBC36CB}"/>
                    </a:ext>
                  </a:extLst>
                </xdr:cNvPr>
                <xdr:cNvGraphicFramePr>
                  <a:graphicFrameLocks/>
                </xdr:cNvGraphicFramePr>
              </xdr:nvGraphicFramePr>
              <xdr:xfrm>
                <a:off x="7956230" y="4083455"/>
                <a:ext cx="4977198" cy="3179657"/>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18" name="TextBox 17">
                  <a:extLst>
                    <a:ext uri="{FF2B5EF4-FFF2-40B4-BE49-F238E27FC236}">
                      <a16:creationId xmlns:a16="http://schemas.microsoft.com/office/drawing/2014/main" id="{41475859-2BD5-47ED-8575-226DE9B9872F}"/>
                    </a:ext>
                  </a:extLst>
                </xdr:cNvPr>
                <xdr:cNvSpPr txBox="1"/>
              </xdr:nvSpPr>
              <xdr:spPr>
                <a:xfrm>
                  <a:off x="8009771" y="4150596"/>
                  <a:ext cx="3380090" cy="34579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C544A"/>
                      </a:solidFill>
                    </a:rPr>
                    <a:t>Avg Recovery </a:t>
                  </a:r>
                  <a:r>
                    <a:rPr lang="en-US" sz="1400" b="1" baseline="0">
                      <a:solidFill>
                        <a:srgbClr val="1C544A"/>
                      </a:solidFill>
                    </a:rPr>
                    <a:t>Score By  Doctor Name</a:t>
                  </a:r>
                  <a:endParaRPr lang="en-US" sz="1400" b="1">
                    <a:solidFill>
                      <a:srgbClr val="1C544A"/>
                    </a:solidFill>
                  </a:endParaRPr>
                </a:p>
              </xdr:txBody>
            </xdr:sp>
          </xdr:grpSp>
          <xdr:grpSp>
            <xdr:nvGrpSpPr>
              <xdr:cNvPr id="60" name="Group 59">
                <a:extLst>
                  <a:ext uri="{FF2B5EF4-FFF2-40B4-BE49-F238E27FC236}">
                    <a16:creationId xmlns:a16="http://schemas.microsoft.com/office/drawing/2014/main" id="{53AE01F3-BEA8-8A88-DC4C-DEE061D67594}"/>
                  </a:ext>
                </a:extLst>
              </xdr:cNvPr>
              <xdr:cNvGrpSpPr/>
            </xdr:nvGrpSpPr>
            <xdr:grpSpPr>
              <a:xfrm>
                <a:off x="1606023" y="4083455"/>
                <a:ext cx="6187381" cy="3179657"/>
                <a:chOff x="1606023" y="4083455"/>
                <a:chExt cx="6187381" cy="3179657"/>
              </a:xfrm>
            </xdr:grpSpPr>
            <xdr:graphicFrame macro="">
              <xdr:nvGraphicFramePr>
                <xdr:cNvPr id="13" name="Chart 12">
                  <a:extLst>
                    <a:ext uri="{FF2B5EF4-FFF2-40B4-BE49-F238E27FC236}">
                      <a16:creationId xmlns:a16="http://schemas.microsoft.com/office/drawing/2014/main" id="{BA493D7B-FE65-4D5C-852A-7F2E6715849C}"/>
                    </a:ext>
                  </a:extLst>
                </xdr:cNvPr>
                <xdr:cNvGraphicFramePr>
                  <a:graphicFrameLocks/>
                </xdr:cNvGraphicFramePr>
              </xdr:nvGraphicFramePr>
              <xdr:xfrm>
                <a:off x="1606023" y="4083455"/>
                <a:ext cx="6103349" cy="3179657"/>
              </xdr:xfrm>
              <a:graphic>
                <a:graphicData uri="http://schemas.openxmlformats.org/drawingml/2006/chart">
                  <c:chart xmlns:c="http://schemas.openxmlformats.org/drawingml/2006/chart" xmlns:r="http://schemas.openxmlformats.org/officeDocument/2006/relationships" r:id="rId16"/>
                </a:graphicData>
              </a:graphic>
            </xdr:graphicFrame>
            <xdr:sp macro="" textlink="">
              <xdr:nvSpPr>
                <xdr:cNvPr id="7" name="TextBox 6">
                  <a:extLst>
                    <a:ext uri="{FF2B5EF4-FFF2-40B4-BE49-F238E27FC236}">
                      <a16:creationId xmlns:a16="http://schemas.microsoft.com/office/drawing/2014/main" id="{E06136EA-3028-4ABA-A79A-0D6A344AC92F}"/>
                    </a:ext>
                  </a:extLst>
                </xdr:cNvPr>
                <xdr:cNvSpPr txBox="1"/>
              </xdr:nvSpPr>
              <xdr:spPr>
                <a:xfrm>
                  <a:off x="1623994" y="4160260"/>
                  <a:ext cx="6169410" cy="42042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C544A"/>
                      </a:solidFill>
                    </a:rPr>
                    <a:t>Avg Recovery </a:t>
                  </a:r>
                  <a:r>
                    <a:rPr lang="en-US" sz="1400" b="1" baseline="0">
                      <a:solidFill>
                        <a:srgbClr val="1C544A"/>
                      </a:solidFill>
                    </a:rPr>
                    <a:t>Score , Min Recovery Score, StdDev Recovery Score By Department</a:t>
                  </a:r>
                  <a:endParaRPr lang="en-US" sz="1400" b="1">
                    <a:solidFill>
                      <a:srgbClr val="1C544A"/>
                    </a:solidFill>
                  </a:endParaRPr>
                </a:p>
              </xdr:txBody>
            </xdr:sp>
          </xdr:grpSp>
          <xdr:grpSp>
            <xdr:nvGrpSpPr>
              <xdr:cNvPr id="55" name="Group 54">
                <a:extLst>
                  <a:ext uri="{FF2B5EF4-FFF2-40B4-BE49-F238E27FC236}">
                    <a16:creationId xmlns:a16="http://schemas.microsoft.com/office/drawing/2014/main" id="{E41E8F03-D172-7DB9-3698-A7A403D5D012}"/>
                  </a:ext>
                </a:extLst>
              </xdr:cNvPr>
              <xdr:cNvGrpSpPr/>
            </xdr:nvGrpSpPr>
            <xdr:grpSpPr>
              <a:xfrm>
                <a:off x="13177121" y="4057681"/>
                <a:ext cx="5364000" cy="3178644"/>
                <a:chOff x="13158805" y="4057681"/>
                <a:chExt cx="5435839" cy="3178644"/>
              </a:xfrm>
            </xdr:grpSpPr>
            <xdr:graphicFrame macro="">
              <xdr:nvGraphicFramePr>
                <xdr:cNvPr id="15" name="Chart 14">
                  <a:extLst>
                    <a:ext uri="{FF2B5EF4-FFF2-40B4-BE49-F238E27FC236}">
                      <a16:creationId xmlns:a16="http://schemas.microsoft.com/office/drawing/2014/main" id="{313026AA-3924-49A9-8825-FCD309FB5E37}"/>
                    </a:ext>
                  </a:extLst>
                </xdr:cNvPr>
                <xdr:cNvGraphicFramePr>
                  <a:graphicFrameLocks/>
                </xdr:cNvGraphicFramePr>
              </xdr:nvGraphicFramePr>
              <xdr:xfrm>
                <a:off x="13158805" y="4057681"/>
                <a:ext cx="5435839" cy="3178644"/>
              </xdr:xfrm>
              <a:graphic>
                <a:graphicData uri="http://schemas.openxmlformats.org/drawingml/2006/chart">
                  <c:chart xmlns:c="http://schemas.openxmlformats.org/drawingml/2006/chart" xmlns:r="http://schemas.openxmlformats.org/officeDocument/2006/relationships" r:id="rId17"/>
                </a:graphicData>
              </a:graphic>
            </xdr:graphicFrame>
            <xdr:sp macro="" textlink="">
              <xdr:nvSpPr>
                <xdr:cNvPr id="53" name="TextBox 52">
                  <a:extLst>
                    <a:ext uri="{FF2B5EF4-FFF2-40B4-BE49-F238E27FC236}">
                      <a16:creationId xmlns:a16="http://schemas.microsoft.com/office/drawing/2014/main" id="{199F09DE-7216-4011-932F-B2B8E51C8499}"/>
                    </a:ext>
                  </a:extLst>
                </xdr:cNvPr>
                <xdr:cNvSpPr txBox="1"/>
              </xdr:nvSpPr>
              <xdr:spPr>
                <a:xfrm>
                  <a:off x="13226743" y="4124164"/>
                  <a:ext cx="3384071" cy="34579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rgbClr val="1C544A"/>
                      </a:solidFill>
                    </a:rPr>
                    <a:t>Avg Recovery </a:t>
                  </a:r>
                  <a:r>
                    <a:rPr lang="en-US" sz="1400" b="1" baseline="0">
                      <a:solidFill>
                        <a:srgbClr val="1C544A"/>
                      </a:solidFill>
                    </a:rPr>
                    <a:t>Score By  Gender</a:t>
                  </a:r>
                  <a:endParaRPr lang="en-US" sz="1400" b="1">
                    <a:solidFill>
                      <a:srgbClr val="1C544A"/>
                    </a:solidFill>
                  </a:endParaRPr>
                </a:p>
              </xdr:txBody>
            </xdr:sp>
          </xdr:grpSp>
        </xdr:grpSp>
      </xdr:grpSp>
      <xdr:sp macro="" textlink="">
        <xdr:nvSpPr>
          <xdr:cNvPr id="79" name="TextBox 78">
            <a:extLst>
              <a:ext uri="{FF2B5EF4-FFF2-40B4-BE49-F238E27FC236}">
                <a16:creationId xmlns:a16="http://schemas.microsoft.com/office/drawing/2014/main" id="{8D85115E-91B8-4F20-BAE5-ED873D2E191F}"/>
              </a:ext>
            </a:extLst>
          </xdr:cNvPr>
          <xdr:cNvSpPr txBox="1"/>
        </xdr:nvSpPr>
        <xdr:spPr>
          <a:xfrm>
            <a:off x="12977577" y="7202698"/>
            <a:ext cx="3779665" cy="371388"/>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1">
                <a:solidFill>
                  <a:srgbClr val="1C544A"/>
                </a:solidFill>
                <a:effectLst/>
                <a:latin typeface="+mn-lt"/>
                <a:ea typeface="+mn-ea"/>
                <a:cs typeface="+mn-cs"/>
              </a:rPr>
              <a:t>Avg Recovery </a:t>
            </a:r>
            <a:r>
              <a:rPr lang="en-US" sz="1400" b="1" baseline="0">
                <a:solidFill>
                  <a:srgbClr val="1C544A"/>
                </a:solidFill>
                <a:effectLst/>
                <a:latin typeface="+mn-lt"/>
                <a:ea typeface="+mn-ea"/>
                <a:cs typeface="+mn-cs"/>
              </a:rPr>
              <a:t>Score By  Aged Group</a:t>
            </a:r>
            <a:endParaRPr lang="en-US" sz="1400" b="1">
              <a:solidFill>
                <a:srgbClr val="1C544A"/>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shti Sutradhar" refreshedDate="46065.533244328704" createdVersion="8" refreshedVersion="8" minRefreshableVersion="3" recordCount="200" xr:uid="{355626E6-08DA-4C09-987E-B785A94CA600}">
  <cacheSource type="worksheet">
    <worksheetSource name="hospital_patient_treatment_dataset"/>
  </cacheSource>
  <cacheFields count="11">
    <cacheField name="Patient ID" numFmtId="0">
      <sharedItems/>
    </cacheField>
    <cacheField name="Department" numFmtId="0">
      <sharedItems count="6">
        <s v="Gastroenterology"/>
        <s v="Pediatrics"/>
        <s v="Orthopedics"/>
        <s v="Cardiology"/>
        <s v="Neurology"/>
        <s v="Oncology"/>
      </sharedItems>
    </cacheField>
    <cacheField name="Treatment Type" numFmtId="0">
      <sharedItems count="4">
        <s v="Therapy"/>
        <s v="Medication"/>
        <s v="Observation"/>
        <s v="Surgery"/>
      </sharedItems>
    </cacheField>
    <cacheField name="Doctor Name" numFmtId="0">
      <sharedItems count="5">
        <s v="Dr. L. Khan"/>
        <s v="Dr. M. Patel"/>
        <s v="Dr. T. Mehta"/>
        <s v="Dr. A. Sharma"/>
        <s v="Dr. R. Singh"/>
      </sharedItems>
    </cacheField>
    <cacheField name="Gender" numFmtId="0">
      <sharedItems count="3">
        <s v="Female"/>
        <s v="Male"/>
        <s v="Other"/>
      </sharedItems>
    </cacheField>
    <cacheField name="Age" numFmtId="0">
      <sharedItems containsSemiMixedTypes="0" containsString="0" containsNumber="1" containsInteger="1" minValue="1" maxValue="90"/>
    </cacheField>
    <cacheField name="Treatment Cost" numFmtId="0">
      <sharedItems containsSemiMixedTypes="0" containsString="0" containsNumber="1" minValue="5444.8" maxValue="149340.16"/>
    </cacheField>
    <cacheField name="Hospital Stay (Days)" numFmtId="0">
      <sharedItems containsSemiMixedTypes="0" containsString="0" containsNumber="1" containsInteger="1" minValue="1" maxValue="30"/>
    </cacheField>
    <cacheField name="Recovery Score" numFmtId="0">
      <sharedItems containsSemiMixedTypes="0" containsString="0" containsNumber="1" containsInteger="1" minValue="40" maxValue="100"/>
    </cacheField>
    <cacheField name="Cost Category" numFmtId="0">
      <sharedItems count="2">
        <s v="Low Cost"/>
        <s v="High Cost"/>
      </sharedItems>
    </cacheField>
    <cacheField name="Aged Group" numFmtId="0">
      <sharedItems count="9">
        <s v="Child"/>
        <s v="Middle-Aged"/>
        <s v="Old"/>
        <s v="Young Adult"/>
        <s v="Adult"/>
        <s v="Junior Elderly"/>
        <s v="Teenager"/>
        <s v="Oldest"/>
        <s v="Infant"/>
      </sharedItems>
    </cacheField>
  </cacheFields>
  <extLst>
    <ext xmlns:x14="http://schemas.microsoft.com/office/spreadsheetml/2009/9/main" uri="{725AE2AE-9491-48be-B2B4-4EB974FC3084}">
      <x14:pivotCacheDefinition pivotCacheId="14244017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P1001"/>
    <x v="0"/>
    <x v="0"/>
    <x v="0"/>
    <x v="0"/>
    <n v="12"/>
    <n v="68632.97"/>
    <n v="21"/>
    <n v="82"/>
    <x v="0"/>
    <x v="0"/>
  </r>
  <r>
    <s v="P1002"/>
    <x v="1"/>
    <x v="1"/>
    <x v="1"/>
    <x v="1"/>
    <n v="52"/>
    <n v="10231.42"/>
    <n v="20"/>
    <n v="42"/>
    <x v="0"/>
    <x v="1"/>
  </r>
  <r>
    <s v="P1003"/>
    <x v="1"/>
    <x v="0"/>
    <x v="0"/>
    <x v="1"/>
    <n v="79"/>
    <n v="10160.24"/>
    <n v="2"/>
    <n v="72"/>
    <x v="0"/>
    <x v="2"/>
  </r>
  <r>
    <s v="P1004"/>
    <x v="1"/>
    <x v="0"/>
    <x v="0"/>
    <x v="0"/>
    <n v="23"/>
    <n v="103508.96"/>
    <n v="20"/>
    <n v="50"/>
    <x v="1"/>
    <x v="3"/>
  </r>
  <r>
    <s v="P1005"/>
    <x v="2"/>
    <x v="1"/>
    <x v="2"/>
    <x v="0"/>
    <n v="7"/>
    <n v="143427.51999999999"/>
    <n v="6"/>
    <n v="43"/>
    <x v="1"/>
    <x v="0"/>
  </r>
  <r>
    <s v="P1006"/>
    <x v="3"/>
    <x v="1"/>
    <x v="3"/>
    <x v="0"/>
    <n v="78"/>
    <n v="146252.19"/>
    <n v="9"/>
    <n v="41"/>
    <x v="1"/>
    <x v="2"/>
  </r>
  <r>
    <s v="P1007"/>
    <x v="3"/>
    <x v="2"/>
    <x v="1"/>
    <x v="2"/>
    <n v="30"/>
    <n v="54393.48"/>
    <n v="1"/>
    <n v="42"/>
    <x v="0"/>
    <x v="4"/>
  </r>
  <r>
    <s v="P1008"/>
    <x v="4"/>
    <x v="2"/>
    <x v="4"/>
    <x v="2"/>
    <n v="68"/>
    <n v="30452.22"/>
    <n v="6"/>
    <n v="77"/>
    <x v="0"/>
    <x v="5"/>
  </r>
  <r>
    <s v="P1009"/>
    <x v="0"/>
    <x v="2"/>
    <x v="0"/>
    <x v="2"/>
    <n v="41"/>
    <n v="79517.25"/>
    <n v="9"/>
    <n v="62"/>
    <x v="1"/>
    <x v="4"/>
  </r>
  <r>
    <s v="P1010"/>
    <x v="1"/>
    <x v="1"/>
    <x v="2"/>
    <x v="2"/>
    <n v="56"/>
    <n v="116558.38"/>
    <n v="24"/>
    <n v="48"/>
    <x v="1"/>
    <x v="1"/>
  </r>
  <r>
    <s v="P1011"/>
    <x v="5"/>
    <x v="1"/>
    <x v="2"/>
    <x v="0"/>
    <n v="24"/>
    <n v="135883.74"/>
    <n v="15"/>
    <n v="54"/>
    <x v="1"/>
    <x v="3"/>
  </r>
  <r>
    <s v="P1012"/>
    <x v="1"/>
    <x v="2"/>
    <x v="1"/>
    <x v="0"/>
    <n v="62"/>
    <n v="148179.98000000001"/>
    <n v="11"/>
    <n v="87"/>
    <x v="1"/>
    <x v="5"/>
  </r>
  <r>
    <s v="P1013"/>
    <x v="3"/>
    <x v="2"/>
    <x v="4"/>
    <x v="0"/>
    <n v="65"/>
    <n v="20591.650000000001"/>
    <n v="28"/>
    <n v="52"/>
    <x v="0"/>
    <x v="5"/>
  </r>
  <r>
    <s v="P1014"/>
    <x v="0"/>
    <x v="2"/>
    <x v="0"/>
    <x v="0"/>
    <n v="13"/>
    <n v="59149.07"/>
    <n v="19"/>
    <n v="86"/>
    <x v="0"/>
    <x v="6"/>
  </r>
  <r>
    <s v="P1015"/>
    <x v="0"/>
    <x v="3"/>
    <x v="3"/>
    <x v="1"/>
    <n v="39"/>
    <n v="59335.72"/>
    <n v="28"/>
    <n v="80"/>
    <x v="0"/>
    <x v="4"/>
  </r>
  <r>
    <s v="P1016"/>
    <x v="2"/>
    <x v="1"/>
    <x v="0"/>
    <x v="1"/>
    <n v="85"/>
    <n v="101936.34"/>
    <n v="27"/>
    <n v="99"/>
    <x v="1"/>
    <x v="7"/>
  </r>
  <r>
    <s v="P1017"/>
    <x v="2"/>
    <x v="3"/>
    <x v="0"/>
    <x v="1"/>
    <n v="52"/>
    <n v="107481.12"/>
    <n v="8"/>
    <n v="93"/>
    <x v="1"/>
    <x v="1"/>
  </r>
  <r>
    <s v="P1018"/>
    <x v="5"/>
    <x v="0"/>
    <x v="2"/>
    <x v="1"/>
    <n v="25"/>
    <n v="142574.53"/>
    <n v="30"/>
    <n v="99"/>
    <x v="1"/>
    <x v="3"/>
  </r>
  <r>
    <s v="P1019"/>
    <x v="1"/>
    <x v="3"/>
    <x v="2"/>
    <x v="1"/>
    <n v="1"/>
    <n v="43174.44"/>
    <n v="24"/>
    <n v="100"/>
    <x v="0"/>
    <x v="8"/>
  </r>
  <r>
    <s v="P1020"/>
    <x v="4"/>
    <x v="1"/>
    <x v="0"/>
    <x v="0"/>
    <n v="3"/>
    <n v="125171.58"/>
    <n v="30"/>
    <n v="89"/>
    <x v="1"/>
    <x v="8"/>
  </r>
  <r>
    <s v="P1021"/>
    <x v="1"/>
    <x v="0"/>
    <x v="3"/>
    <x v="1"/>
    <n v="31"/>
    <n v="51842.34"/>
    <n v="15"/>
    <n v="74"/>
    <x v="0"/>
    <x v="4"/>
  </r>
  <r>
    <s v="P1022"/>
    <x v="5"/>
    <x v="0"/>
    <x v="3"/>
    <x v="1"/>
    <n v="66"/>
    <n v="30547.73"/>
    <n v="11"/>
    <n v="47"/>
    <x v="0"/>
    <x v="5"/>
  </r>
  <r>
    <s v="P1023"/>
    <x v="2"/>
    <x v="0"/>
    <x v="4"/>
    <x v="1"/>
    <n v="68"/>
    <n v="68961.679999999993"/>
    <n v="5"/>
    <n v="67"/>
    <x v="0"/>
    <x v="5"/>
  </r>
  <r>
    <s v="P1024"/>
    <x v="5"/>
    <x v="0"/>
    <x v="4"/>
    <x v="2"/>
    <n v="75"/>
    <n v="89887.05"/>
    <n v="28"/>
    <n v="92"/>
    <x v="1"/>
    <x v="2"/>
  </r>
  <r>
    <s v="P1025"/>
    <x v="1"/>
    <x v="1"/>
    <x v="0"/>
    <x v="1"/>
    <n v="35"/>
    <n v="54350.5"/>
    <n v="24"/>
    <n v="70"/>
    <x v="0"/>
    <x v="4"/>
  </r>
  <r>
    <s v="P1026"/>
    <x v="4"/>
    <x v="0"/>
    <x v="2"/>
    <x v="1"/>
    <n v="56"/>
    <n v="47635.12"/>
    <n v="3"/>
    <n v="47"/>
    <x v="0"/>
    <x v="1"/>
  </r>
  <r>
    <s v="P1027"/>
    <x v="2"/>
    <x v="3"/>
    <x v="2"/>
    <x v="2"/>
    <n v="34"/>
    <n v="136077.99"/>
    <n v="25"/>
    <n v="58"/>
    <x v="1"/>
    <x v="4"/>
  </r>
  <r>
    <s v="P1028"/>
    <x v="3"/>
    <x v="0"/>
    <x v="2"/>
    <x v="1"/>
    <n v="31"/>
    <n v="103276.56"/>
    <n v="30"/>
    <n v="84"/>
    <x v="1"/>
    <x v="4"/>
  </r>
  <r>
    <s v="P1029"/>
    <x v="0"/>
    <x v="3"/>
    <x v="3"/>
    <x v="1"/>
    <n v="25"/>
    <n v="38676.85"/>
    <n v="9"/>
    <n v="70"/>
    <x v="0"/>
    <x v="3"/>
  </r>
  <r>
    <s v="P1030"/>
    <x v="0"/>
    <x v="3"/>
    <x v="4"/>
    <x v="2"/>
    <n v="86"/>
    <n v="35788.22"/>
    <n v="3"/>
    <n v="66"/>
    <x v="0"/>
    <x v="7"/>
  </r>
  <r>
    <s v="P1031"/>
    <x v="5"/>
    <x v="1"/>
    <x v="0"/>
    <x v="1"/>
    <n v="79"/>
    <n v="140415.63"/>
    <n v="16"/>
    <n v="67"/>
    <x v="1"/>
    <x v="2"/>
  </r>
  <r>
    <s v="P1032"/>
    <x v="2"/>
    <x v="3"/>
    <x v="3"/>
    <x v="1"/>
    <n v="51"/>
    <n v="143365.82999999999"/>
    <n v="1"/>
    <n v="58"/>
    <x v="1"/>
    <x v="1"/>
  </r>
  <r>
    <s v="P1033"/>
    <x v="0"/>
    <x v="1"/>
    <x v="1"/>
    <x v="1"/>
    <n v="1"/>
    <n v="101058.07"/>
    <n v="4"/>
    <n v="81"/>
    <x v="1"/>
    <x v="8"/>
  </r>
  <r>
    <s v="P1034"/>
    <x v="2"/>
    <x v="0"/>
    <x v="0"/>
    <x v="2"/>
    <n v="58"/>
    <n v="41426.04"/>
    <n v="6"/>
    <n v="67"/>
    <x v="0"/>
    <x v="1"/>
  </r>
  <r>
    <s v="P1035"/>
    <x v="2"/>
    <x v="2"/>
    <x v="1"/>
    <x v="0"/>
    <n v="15"/>
    <n v="131454.59"/>
    <n v="30"/>
    <n v="83"/>
    <x v="1"/>
    <x v="6"/>
  </r>
  <r>
    <s v="P1036"/>
    <x v="0"/>
    <x v="1"/>
    <x v="4"/>
    <x v="0"/>
    <n v="5"/>
    <n v="48581.36"/>
    <n v="16"/>
    <n v="40"/>
    <x v="0"/>
    <x v="8"/>
  </r>
  <r>
    <s v="P1037"/>
    <x v="1"/>
    <x v="0"/>
    <x v="1"/>
    <x v="0"/>
    <n v="41"/>
    <n v="143381.07"/>
    <n v="1"/>
    <n v="87"/>
    <x v="1"/>
    <x v="4"/>
  </r>
  <r>
    <s v="P1038"/>
    <x v="1"/>
    <x v="0"/>
    <x v="1"/>
    <x v="1"/>
    <n v="3"/>
    <n v="50045.440000000002"/>
    <n v="15"/>
    <n v="84"/>
    <x v="0"/>
    <x v="8"/>
  </r>
  <r>
    <s v="P1039"/>
    <x v="2"/>
    <x v="0"/>
    <x v="1"/>
    <x v="2"/>
    <n v="58"/>
    <n v="86479.95"/>
    <n v="1"/>
    <n v="75"/>
    <x v="1"/>
    <x v="1"/>
  </r>
  <r>
    <s v="P1040"/>
    <x v="1"/>
    <x v="3"/>
    <x v="2"/>
    <x v="1"/>
    <n v="14"/>
    <n v="9067.3799999999992"/>
    <n v="28"/>
    <n v="86"/>
    <x v="0"/>
    <x v="6"/>
  </r>
  <r>
    <s v="P1041"/>
    <x v="1"/>
    <x v="2"/>
    <x v="2"/>
    <x v="1"/>
    <n v="31"/>
    <n v="113414.83"/>
    <n v="8"/>
    <n v="70"/>
    <x v="1"/>
    <x v="4"/>
  </r>
  <r>
    <s v="P1042"/>
    <x v="4"/>
    <x v="1"/>
    <x v="0"/>
    <x v="1"/>
    <n v="85"/>
    <n v="78946.19"/>
    <n v="3"/>
    <n v="48"/>
    <x v="1"/>
    <x v="7"/>
  </r>
  <r>
    <s v="P1043"/>
    <x v="0"/>
    <x v="0"/>
    <x v="3"/>
    <x v="1"/>
    <n v="22"/>
    <n v="100035.91"/>
    <n v="29"/>
    <n v="70"/>
    <x v="1"/>
    <x v="3"/>
  </r>
  <r>
    <s v="P1044"/>
    <x v="1"/>
    <x v="2"/>
    <x v="2"/>
    <x v="1"/>
    <n v="62"/>
    <n v="149340.16"/>
    <n v="18"/>
    <n v="49"/>
    <x v="1"/>
    <x v="5"/>
  </r>
  <r>
    <s v="P1045"/>
    <x v="0"/>
    <x v="0"/>
    <x v="0"/>
    <x v="0"/>
    <n v="79"/>
    <n v="105328.19"/>
    <n v="26"/>
    <n v="94"/>
    <x v="1"/>
    <x v="2"/>
  </r>
  <r>
    <s v="P1046"/>
    <x v="0"/>
    <x v="2"/>
    <x v="0"/>
    <x v="2"/>
    <n v="19"/>
    <n v="21826.12"/>
    <n v="17"/>
    <n v="48"/>
    <x v="0"/>
    <x v="6"/>
  </r>
  <r>
    <s v="P1047"/>
    <x v="5"/>
    <x v="0"/>
    <x v="4"/>
    <x v="1"/>
    <n v="37"/>
    <n v="77556.53"/>
    <n v="24"/>
    <n v="87"/>
    <x v="1"/>
    <x v="4"/>
  </r>
  <r>
    <s v="P1048"/>
    <x v="5"/>
    <x v="2"/>
    <x v="3"/>
    <x v="1"/>
    <n v="30"/>
    <n v="53806.86"/>
    <n v="21"/>
    <n v="82"/>
    <x v="0"/>
    <x v="4"/>
  </r>
  <r>
    <s v="P1049"/>
    <x v="1"/>
    <x v="3"/>
    <x v="0"/>
    <x v="1"/>
    <n v="66"/>
    <n v="84096.91"/>
    <n v="18"/>
    <n v="91"/>
    <x v="1"/>
    <x v="5"/>
  </r>
  <r>
    <s v="P1050"/>
    <x v="0"/>
    <x v="2"/>
    <x v="0"/>
    <x v="1"/>
    <n v="22"/>
    <n v="46384.67"/>
    <n v="3"/>
    <n v="84"/>
    <x v="0"/>
    <x v="3"/>
  </r>
  <r>
    <s v="P1051"/>
    <x v="0"/>
    <x v="2"/>
    <x v="1"/>
    <x v="1"/>
    <n v="60"/>
    <n v="122442.43"/>
    <n v="6"/>
    <n v="94"/>
    <x v="1"/>
    <x v="5"/>
  </r>
  <r>
    <s v="P1052"/>
    <x v="4"/>
    <x v="1"/>
    <x v="0"/>
    <x v="2"/>
    <n v="35"/>
    <n v="73863.679999999993"/>
    <n v="17"/>
    <n v="42"/>
    <x v="0"/>
    <x v="4"/>
  </r>
  <r>
    <s v="P1053"/>
    <x v="2"/>
    <x v="0"/>
    <x v="2"/>
    <x v="0"/>
    <n v="21"/>
    <n v="75334.19"/>
    <n v="23"/>
    <n v="51"/>
    <x v="1"/>
    <x v="3"/>
  </r>
  <r>
    <s v="P1054"/>
    <x v="4"/>
    <x v="2"/>
    <x v="1"/>
    <x v="2"/>
    <n v="51"/>
    <n v="59829.99"/>
    <n v="2"/>
    <n v="40"/>
    <x v="0"/>
    <x v="1"/>
  </r>
  <r>
    <s v="P1055"/>
    <x v="4"/>
    <x v="2"/>
    <x v="4"/>
    <x v="0"/>
    <n v="87"/>
    <n v="5444.8"/>
    <n v="5"/>
    <n v="42"/>
    <x v="0"/>
    <x v="7"/>
  </r>
  <r>
    <s v="P1056"/>
    <x v="3"/>
    <x v="0"/>
    <x v="1"/>
    <x v="1"/>
    <n v="11"/>
    <n v="39022.85"/>
    <n v="8"/>
    <n v="96"/>
    <x v="0"/>
    <x v="0"/>
  </r>
  <r>
    <s v="P1057"/>
    <x v="1"/>
    <x v="0"/>
    <x v="0"/>
    <x v="1"/>
    <n v="7"/>
    <n v="127110.45"/>
    <n v="30"/>
    <n v="100"/>
    <x v="1"/>
    <x v="0"/>
  </r>
  <r>
    <s v="P1058"/>
    <x v="3"/>
    <x v="1"/>
    <x v="1"/>
    <x v="2"/>
    <n v="80"/>
    <n v="120082.46"/>
    <n v="16"/>
    <n v="93"/>
    <x v="1"/>
    <x v="2"/>
  </r>
  <r>
    <s v="P1059"/>
    <x v="1"/>
    <x v="2"/>
    <x v="1"/>
    <x v="1"/>
    <n v="75"/>
    <n v="79671.37"/>
    <n v="30"/>
    <n v="43"/>
    <x v="1"/>
    <x v="2"/>
  </r>
  <r>
    <s v="P1060"/>
    <x v="0"/>
    <x v="3"/>
    <x v="0"/>
    <x v="1"/>
    <n v="7"/>
    <n v="66277.52"/>
    <n v="26"/>
    <n v="69"/>
    <x v="0"/>
    <x v="0"/>
  </r>
  <r>
    <s v="P1061"/>
    <x v="2"/>
    <x v="0"/>
    <x v="4"/>
    <x v="0"/>
    <n v="14"/>
    <n v="12241.3"/>
    <n v="20"/>
    <n v="40"/>
    <x v="0"/>
    <x v="6"/>
  </r>
  <r>
    <s v="P1062"/>
    <x v="5"/>
    <x v="2"/>
    <x v="1"/>
    <x v="1"/>
    <n v="22"/>
    <n v="133882.43"/>
    <n v="29"/>
    <n v="63"/>
    <x v="1"/>
    <x v="3"/>
  </r>
  <r>
    <s v="P1063"/>
    <x v="3"/>
    <x v="3"/>
    <x v="0"/>
    <x v="2"/>
    <n v="73"/>
    <n v="148488.95000000001"/>
    <n v="22"/>
    <n v="77"/>
    <x v="1"/>
    <x v="5"/>
  </r>
  <r>
    <s v="P1064"/>
    <x v="4"/>
    <x v="1"/>
    <x v="0"/>
    <x v="2"/>
    <n v="5"/>
    <n v="74239.37"/>
    <n v="7"/>
    <n v="61"/>
    <x v="0"/>
    <x v="8"/>
  </r>
  <r>
    <s v="P1065"/>
    <x v="2"/>
    <x v="1"/>
    <x v="4"/>
    <x v="1"/>
    <n v="6"/>
    <n v="98732.94"/>
    <n v="25"/>
    <n v="45"/>
    <x v="1"/>
    <x v="0"/>
  </r>
  <r>
    <s v="P1066"/>
    <x v="0"/>
    <x v="0"/>
    <x v="2"/>
    <x v="0"/>
    <n v="4"/>
    <n v="66339.33"/>
    <n v="5"/>
    <n v="77"/>
    <x v="0"/>
    <x v="8"/>
  </r>
  <r>
    <s v="P1067"/>
    <x v="0"/>
    <x v="1"/>
    <x v="4"/>
    <x v="1"/>
    <n v="14"/>
    <n v="113363.27"/>
    <n v="9"/>
    <n v="74"/>
    <x v="1"/>
    <x v="6"/>
  </r>
  <r>
    <s v="P1068"/>
    <x v="0"/>
    <x v="1"/>
    <x v="4"/>
    <x v="0"/>
    <n v="11"/>
    <n v="24492.09"/>
    <n v="8"/>
    <n v="58"/>
    <x v="0"/>
    <x v="0"/>
  </r>
  <r>
    <s v="P1069"/>
    <x v="3"/>
    <x v="1"/>
    <x v="4"/>
    <x v="0"/>
    <n v="19"/>
    <n v="42080.85"/>
    <n v="29"/>
    <n v="65"/>
    <x v="0"/>
    <x v="6"/>
  </r>
  <r>
    <s v="P1070"/>
    <x v="4"/>
    <x v="1"/>
    <x v="2"/>
    <x v="2"/>
    <n v="56"/>
    <n v="147658.16"/>
    <n v="11"/>
    <n v="96"/>
    <x v="1"/>
    <x v="1"/>
  </r>
  <r>
    <s v="P1071"/>
    <x v="2"/>
    <x v="1"/>
    <x v="0"/>
    <x v="0"/>
    <n v="40"/>
    <n v="79386.600000000006"/>
    <n v="21"/>
    <n v="67"/>
    <x v="1"/>
    <x v="4"/>
  </r>
  <r>
    <s v="P1072"/>
    <x v="5"/>
    <x v="3"/>
    <x v="1"/>
    <x v="1"/>
    <n v="6"/>
    <n v="22175.37"/>
    <n v="17"/>
    <n v="82"/>
    <x v="0"/>
    <x v="0"/>
  </r>
  <r>
    <s v="P1073"/>
    <x v="4"/>
    <x v="2"/>
    <x v="0"/>
    <x v="2"/>
    <n v="62"/>
    <n v="16296.15"/>
    <n v="28"/>
    <n v="63"/>
    <x v="0"/>
    <x v="5"/>
  </r>
  <r>
    <s v="P1074"/>
    <x v="4"/>
    <x v="3"/>
    <x v="0"/>
    <x v="2"/>
    <n v="56"/>
    <n v="120488.57"/>
    <n v="30"/>
    <n v="48"/>
    <x v="1"/>
    <x v="1"/>
  </r>
  <r>
    <s v="P1075"/>
    <x v="2"/>
    <x v="2"/>
    <x v="0"/>
    <x v="0"/>
    <n v="8"/>
    <n v="111873.66"/>
    <n v="16"/>
    <n v="74"/>
    <x v="1"/>
    <x v="0"/>
  </r>
  <r>
    <s v="P1076"/>
    <x v="2"/>
    <x v="1"/>
    <x v="2"/>
    <x v="1"/>
    <n v="62"/>
    <n v="27610.65"/>
    <n v="26"/>
    <n v="72"/>
    <x v="0"/>
    <x v="5"/>
  </r>
  <r>
    <s v="P1077"/>
    <x v="2"/>
    <x v="3"/>
    <x v="4"/>
    <x v="2"/>
    <n v="17"/>
    <n v="142458.98000000001"/>
    <n v="6"/>
    <n v="69"/>
    <x v="1"/>
    <x v="6"/>
  </r>
  <r>
    <s v="P1078"/>
    <x v="2"/>
    <x v="0"/>
    <x v="2"/>
    <x v="2"/>
    <n v="7"/>
    <n v="23799.83"/>
    <n v="26"/>
    <n v="52"/>
    <x v="0"/>
    <x v="0"/>
  </r>
  <r>
    <s v="P1079"/>
    <x v="5"/>
    <x v="3"/>
    <x v="0"/>
    <x v="2"/>
    <n v="49"/>
    <n v="117019.47"/>
    <n v="28"/>
    <n v="63"/>
    <x v="1"/>
    <x v="1"/>
  </r>
  <r>
    <s v="P1080"/>
    <x v="5"/>
    <x v="0"/>
    <x v="4"/>
    <x v="2"/>
    <n v="12"/>
    <n v="69472.05"/>
    <n v="11"/>
    <n v="68"/>
    <x v="0"/>
    <x v="0"/>
  </r>
  <r>
    <s v="P1081"/>
    <x v="3"/>
    <x v="0"/>
    <x v="4"/>
    <x v="0"/>
    <n v="5"/>
    <n v="64103.040000000001"/>
    <n v="14"/>
    <n v="42"/>
    <x v="0"/>
    <x v="8"/>
  </r>
  <r>
    <s v="P1082"/>
    <x v="2"/>
    <x v="0"/>
    <x v="0"/>
    <x v="2"/>
    <n v="13"/>
    <n v="137441.75"/>
    <n v="23"/>
    <n v="74"/>
    <x v="1"/>
    <x v="6"/>
  </r>
  <r>
    <s v="P1083"/>
    <x v="3"/>
    <x v="0"/>
    <x v="2"/>
    <x v="0"/>
    <n v="71"/>
    <n v="11066.61"/>
    <n v="17"/>
    <n v="86"/>
    <x v="0"/>
    <x v="5"/>
  </r>
  <r>
    <s v="P1084"/>
    <x v="4"/>
    <x v="1"/>
    <x v="3"/>
    <x v="0"/>
    <n v="87"/>
    <n v="36726.76"/>
    <n v="4"/>
    <n v="53"/>
    <x v="0"/>
    <x v="7"/>
  </r>
  <r>
    <s v="P1085"/>
    <x v="1"/>
    <x v="1"/>
    <x v="1"/>
    <x v="2"/>
    <n v="40"/>
    <n v="19717.900000000001"/>
    <n v="20"/>
    <n v="63"/>
    <x v="0"/>
    <x v="4"/>
  </r>
  <r>
    <s v="P1086"/>
    <x v="5"/>
    <x v="1"/>
    <x v="3"/>
    <x v="2"/>
    <n v="63"/>
    <n v="82657.039999999994"/>
    <n v="4"/>
    <n v="55"/>
    <x v="1"/>
    <x v="5"/>
  </r>
  <r>
    <s v="P1087"/>
    <x v="1"/>
    <x v="1"/>
    <x v="1"/>
    <x v="2"/>
    <n v="1"/>
    <n v="16874.009999999998"/>
    <n v="14"/>
    <n v="76"/>
    <x v="0"/>
    <x v="8"/>
  </r>
  <r>
    <s v="P1088"/>
    <x v="1"/>
    <x v="3"/>
    <x v="0"/>
    <x v="1"/>
    <n v="37"/>
    <n v="8578.83"/>
    <n v="2"/>
    <n v="90"/>
    <x v="0"/>
    <x v="4"/>
  </r>
  <r>
    <s v="P1089"/>
    <x v="5"/>
    <x v="0"/>
    <x v="1"/>
    <x v="1"/>
    <n v="7"/>
    <n v="22311.39"/>
    <n v="14"/>
    <n v="86"/>
    <x v="0"/>
    <x v="0"/>
  </r>
  <r>
    <s v="P1090"/>
    <x v="3"/>
    <x v="3"/>
    <x v="0"/>
    <x v="2"/>
    <n v="46"/>
    <n v="128560.01"/>
    <n v="7"/>
    <n v="52"/>
    <x v="1"/>
    <x v="1"/>
  </r>
  <r>
    <s v="P1091"/>
    <x v="4"/>
    <x v="0"/>
    <x v="2"/>
    <x v="2"/>
    <n v="30"/>
    <n v="147742.63"/>
    <n v="28"/>
    <n v="62"/>
    <x v="1"/>
    <x v="4"/>
  </r>
  <r>
    <s v="P1092"/>
    <x v="1"/>
    <x v="0"/>
    <x v="1"/>
    <x v="2"/>
    <n v="66"/>
    <n v="54562.1"/>
    <n v="21"/>
    <n v="86"/>
    <x v="0"/>
    <x v="5"/>
  </r>
  <r>
    <s v="P1093"/>
    <x v="5"/>
    <x v="2"/>
    <x v="2"/>
    <x v="2"/>
    <n v="1"/>
    <n v="146289.26999999999"/>
    <n v="17"/>
    <n v="47"/>
    <x v="1"/>
    <x v="8"/>
  </r>
  <r>
    <s v="P1094"/>
    <x v="4"/>
    <x v="3"/>
    <x v="4"/>
    <x v="2"/>
    <n v="89"/>
    <n v="128840.81"/>
    <n v="22"/>
    <n v="81"/>
    <x v="1"/>
    <x v="7"/>
  </r>
  <r>
    <s v="P1095"/>
    <x v="2"/>
    <x v="1"/>
    <x v="1"/>
    <x v="2"/>
    <n v="48"/>
    <n v="19629.22"/>
    <n v="2"/>
    <n v="95"/>
    <x v="0"/>
    <x v="1"/>
  </r>
  <r>
    <s v="P1096"/>
    <x v="4"/>
    <x v="2"/>
    <x v="4"/>
    <x v="0"/>
    <n v="59"/>
    <n v="73629.03"/>
    <n v="10"/>
    <n v="85"/>
    <x v="0"/>
    <x v="1"/>
  </r>
  <r>
    <s v="P1097"/>
    <x v="3"/>
    <x v="1"/>
    <x v="4"/>
    <x v="2"/>
    <n v="54"/>
    <n v="100747.7"/>
    <n v="12"/>
    <n v="74"/>
    <x v="1"/>
    <x v="1"/>
  </r>
  <r>
    <s v="P1098"/>
    <x v="1"/>
    <x v="0"/>
    <x v="0"/>
    <x v="2"/>
    <n v="35"/>
    <n v="85523.17"/>
    <n v="30"/>
    <n v="90"/>
    <x v="1"/>
    <x v="4"/>
  </r>
  <r>
    <s v="P1099"/>
    <x v="4"/>
    <x v="1"/>
    <x v="2"/>
    <x v="2"/>
    <n v="33"/>
    <n v="79151.14"/>
    <n v="2"/>
    <n v="56"/>
    <x v="1"/>
    <x v="4"/>
  </r>
  <r>
    <s v="P1100"/>
    <x v="5"/>
    <x v="0"/>
    <x v="2"/>
    <x v="0"/>
    <n v="30"/>
    <n v="115395.67"/>
    <n v="11"/>
    <n v="74"/>
    <x v="1"/>
    <x v="4"/>
  </r>
  <r>
    <s v="P1101"/>
    <x v="2"/>
    <x v="2"/>
    <x v="0"/>
    <x v="0"/>
    <n v="60"/>
    <n v="49131.44"/>
    <n v="2"/>
    <n v="44"/>
    <x v="0"/>
    <x v="5"/>
  </r>
  <r>
    <s v="P1102"/>
    <x v="4"/>
    <x v="0"/>
    <x v="2"/>
    <x v="2"/>
    <n v="70"/>
    <n v="58132.5"/>
    <n v="25"/>
    <n v="43"/>
    <x v="0"/>
    <x v="5"/>
  </r>
  <r>
    <s v="P1103"/>
    <x v="5"/>
    <x v="3"/>
    <x v="0"/>
    <x v="0"/>
    <n v="6"/>
    <n v="77311.77"/>
    <n v="19"/>
    <n v="90"/>
    <x v="1"/>
    <x v="0"/>
  </r>
  <r>
    <s v="P1104"/>
    <x v="3"/>
    <x v="2"/>
    <x v="4"/>
    <x v="2"/>
    <n v="70"/>
    <n v="14270.62"/>
    <n v="24"/>
    <n v="43"/>
    <x v="0"/>
    <x v="5"/>
  </r>
  <r>
    <s v="P1105"/>
    <x v="1"/>
    <x v="2"/>
    <x v="3"/>
    <x v="0"/>
    <n v="52"/>
    <n v="97685.72"/>
    <n v="28"/>
    <n v="59"/>
    <x v="1"/>
    <x v="1"/>
  </r>
  <r>
    <s v="P1106"/>
    <x v="0"/>
    <x v="1"/>
    <x v="2"/>
    <x v="1"/>
    <n v="64"/>
    <n v="142687.47"/>
    <n v="27"/>
    <n v="80"/>
    <x v="1"/>
    <x v="5"/>
  </r>
  <r>
    <s v="P1107"/>
    <x v="4"/>
    <x v="2"/>
    <x v="1"/>
    <x v="2"/>
    <n v="35"/>
    <n v="36754.51"/>
    <n v="27"/>
    <n v="49"/>
    <x v="0"/>
    <x v="4"/>
  </r>
  <r>
    <s v="P1108"/>
    <x v="1"/>
    <x v="1"/>
    <x v="1"/>
    <x v="2"/>
    <n v="62"/>
    <n v="34938.57"/>
    <n v="8"/>
    <n v="70"/>
    <x v="0"/>
    <x v="5"/>
  </r>
  <r>
    <s v="P1109"/>
    <x v="2"/>
    <x v="2"/>
    <x v="0"/>
    <x v="0"/>
    <n v="22"/>
    <n v="97228.49"/>
    <n v="7"/>
    <n v="60"/>
    <x v="1"/>
    <x v="3"/>
  </r>
  <r>
    <s v="P1110"/>
    <x v="3"/>
    <x v="2"/>
    <x v="1"/>
    <x v="0"/>
    <n v="42"/>
    <n v="91441.1"/>
    <n v="22"/>
    <n v="84"/>
    <x v="1"/>
    <x v="4"/>
  </r>
  <r>
    <s v="P1111"/>
    <x v="0"/>
    <x v="3"/>
    <x v="4"/>
    <x v="0"/>
    <n v="24"/>
    <n v="139624.06"/>
    <n v="5"/>
    <n v="55"/>
    <x v="1"/>
    <x v="3"/>
  </r>
  <r>
    <s v="P1112"/>
    <x v="3"/>
    <x v="1"/>
    <x v="0"/>
    <x v="2"/>
    <n v="17"/>
    <n v="86650.5"/>
    <n v="3"/>
    <n v="53"/>
    <x v="1"/>
    <x v="6"/>
  </r>
  <r>
    <s v="P1113"/>
    <x v="4"/>
    <x v="0"/>
    <x v="1"/>
    <x v="1"/>
    <n v="75"/>
    <n v="85517.09"/>
    <n v="6"/>
    <n v="79"/>
    <x v="1"/>
    <x v="2"/>
  </r>
  <r>
    <s v="P1114"/>
    <x v="0"/>
    <x v="0"/>
    <x v="1"/>
    <x v="0"/>
    <n v="47"/>
    <n v="134120.62"/>
    <n v="11"/>
    <n v="92"/>
    <x v="1"/>
    <x v="1"/>
  </r>
  <r>
    <s v="P1115"/>
    <x v="2"/>
    <x v="3"/>
    <x v="2"/>
    <x v="2"/>
    <n v="81"/>
    <n v="22593.06"/>
    <n v="6"/>
    <n v="67"/>
    <x v="0"/>
    <x v="2"/>
  </r>
  <r>
    <s v="P1116"/>
    <x v="0"/>
    <x v="2"/>
    <x v="2"/>
    <x v="1"/>
    <n v="20"/>
    <n v="88741.64"/>
    <n v="26"/>
    <n v="99"/>
    <x v="1"/>
    <x v="3"/>
  </r>
  <r>
    <s v="P1117"/>
    <x v="0"/>
    <x v="1"/>
    <x v="1"/>
    <x v="1"/>
    <n v="14"/>
    <n v="10917.19"/>
    <n v="22"/>
    <n v="43"/>
    <x v="0"/>
    <x v="6"/>
  </r>
  <r>
    <s v="P1118"/>
    <x v="0"/>
    <x v="3"/>
    <x v="4"/>
    <x v="0"/>
    <n v="30"/>
    <n v="97613.71"/>
    <n v="24"/>
    <n v="72"/>
    <x v="1"/>
    <x v="4"/>
  </r>
  <r>
    <s v="P1119"/>
    <x v="5"/>
    <x v="3"/>
    <x v="2"/>
    <x v="0"/>
    <n v="81"/>
    <n v="135711.26999999999"/>
    <n v="14"/>
    <n v="99"/>
    <x v="1"/>
    <x v="2"/>
  </r>
  <r>
    <s v="P1120"/>
    <x v="1"/>
    <x v="1"/>
    <x v="2"/>
    <x v="0"/>
    <n v="48"/>
    <n v="117464.18"/>
    <n v="2"/>
    <n v="61"/>
    <x v="1"/>
    <x v="1"/>
  </r>
  <r>
    <s v="P1121"/>
    <x v="2"/>
    <x v="1"/>
    <x v="2"/>
    <x v="2"/>
    <n v="45"/>
    <n v="89474.55"/>
    <n v="21"/>
    <n v="64"/>
    <x v="1"/>
    <x v="1"/>
  </r>
  <r>
    <s v="P1122"/>
    <x v="0"/>
    <x v="3"/>
    <x v="4"/>
    <x v="2"/>
    <n v="1"/>
    <n v="105954.09"/>
    <n v="12"/>
    <n v="95"/>
    <x v="1"/>
    <x v="8"/>
  </r>
  <r>
    <s v="P1123"/>
    <x v="1"/>
    <x v="2"/>
    <x v="3"/>
    <x v="0"/>
    <n v="30"/>
    <n v="91267.91"/>
    <n v="17"/>
    <n v="76"/>
    <x v="1"/>
    <x v="4"/>
  </r>
  <r>
    <s v="P1124"/>
    <x v="5"/>
    <x v="0"/>
    <x v="3"/>
    <x v="0"/>
    <n v="3"/>
    <n v="46506.94"/>
    <n v="9"/>
    <n v="72"/>
    <x v="0"/>
    <x v="8"/>
  </r>
  <r>
    <s v="P1125"/>
    <x v="4"/>
    <x v="3"/>
    <x v="1"/>
    <x v="0"/>
    <n v="78"/>
    <n v="40568.300000000003"/>
    <n v="18"/>
    <n v="91"/>
    <x v="0"/>
    <x v="2"/>
  </r>
  <r>
    <s v="P1126"/>
    <x v="2"/>
    <x v="0"/>
    <x v="4"/>
    <x v="1"/>
    <n v="35"/>
    <n v="132265.98000000001"/>
    <n v="7"/>
    <n v="45"/>
    <x v="1"/>
    <x v="4"/>
  </r>
  <r>
    <s v="P1127"/>
    <x v="1"/>
    <x v="3"/>
    <x v="2"/>
    <x v="1"/>
    <n v="88"/>
    <n v="50993.47"/>
    <n v="4"/>
    <n v="82"/>
    <x v="0"/>
    <x v="7"/>
  </r>
  <r>
    <s v="P1128"/>
    <x v="2"/>
    <x v="3"/>
    <x v="1"/>
    <x v="1"/>
    <n v="7"/>
    <n v="135590.48000000001"/>
    <n v="6"/>
    <n v="46"/>
    <x v="1"/>
    <x v="0"/>
  </r>
  <r>
    <s v="P1129"/>
    <x v="1"/>
    <x v="3"/>
    <x v="4"/>
    <x v="0"/>
    <n v="73"/>
    <n v="148956.56"/>
    <n v="6"/>
    <n v="100"/>
    <x v="1"/>
    <x v="5"/>
  </r>
  <r>
    <s v="P1130"/>
    <x v="3"/>
    <x v="1"/>
    <x v="0"/>
    <x v="1"/>
    <n v="83"/>
    <n v="71584.960000000006"/>
    <n v="26"/>
    <n v="55"/>
    <x v="0"/>
    <x v="2"/>
  </r>
  <r>
    <s v="P1131"/>
    <x v="2"/>
    <x v="2"/>
    <x v="1"/>
    <x v="2"/>
    <n v="37"/>
    <n v="78613.16"/>
    <n v="20"/>
    <n v="85"/>
    <x v="1"/>
    <x v="4"/>
  </r>
  <r>
    <s v="P1132"/>
    <x v="2"/>
    <x v="0"/>
    <x v="2"/>
    <x v="1"/>
    <n v="53"/>
    <n v="103548.4"/>
    <n v="27"/>
    <n v="74"/>
    <x v="1"/>
    <x v="1"/>
  </r>
  <r>
    <s v="P1133"/>
    <x v="4"/>
    <x v="0"/>
    <x v="4"/>
    <x v="2"/>
    <n v="50"/>
    <n v="62134.18"/>
    <n v="13"/>
    <n v="40"/>
    <x v="0"/>
    <x v="1"/>
  </r>
  <r>
    <s v="P1134"/>
    <x v="5"/>
    <x v="3"/>
    <x v="4"/>
    <x v="1"/>
    <n v="7"/>
    <n v="59235.13"/>
    <n v="12"/>
    <n v="42"/>
    <x v="0"/>
    <x v="0"/>
  </r>
  <r>
    <s v="P1135"/>
    <x v="0"/>
    <x v="2"/>
    <x v="4"/>
    <x v="1"/>
    <n v="38"/>
    <n v="118022.05"/>
    <n v="17"/>
    <n v="79"/>
    <x v="1"/>
    <x v="4"/>
  </r>
  <r>
    <s v="P1136"/>
    <x v="3"/>
    <x v="0"/>
    <x v="3"/>
    <x v="0"/>
    <n v="49"/>
    <n v="127750.62"/>
    <n v="18"/>
    <n v="60"/>
    <x v="1"/>
    <x v="1"/>
  </r>
  <r>
    <s v="P1137"/>
    <x v="1"/>
    <x v="2"/>
    <x v="1"/>
    <x v="2"/>
    <n v="27"/>
    <n v="79666.86"/>
    <n v="16"/>
    <n v="85"/>
    <x v="1"/>
    <x v="3"/>
  </r>
  <r>
    <s v="P1138"/>
    <x v="2"/>
    <x v="3"/>
    <x v="0"/>
    <x v="0"/>
    <n v="65"/>
    <n v="120956.04"/>
    <n v="25"/>
    <n v="95"/>
    <x v="1"/>
    <x v="5"/>
  </r>
  <r>
    <s v="P1139"/>
    <x v="0"/>
    <x v="2"/>
    <x v="3"/>
    <x v="1"/>
    <n v="58"/>
    <n v="100338.81"/>
    <n v="7"/>
    <n v="59"/>
    <x v="1"/>
    <x v="1"/>
  </r>
  <r>
    <s v="P1140"/>
    <x v="4"/>
    <x v="2"/>
    <x v="0"/>
    <x v="0"/>
    <n v="22"/>
    <n v="120621.62"/>
    <n v="21"/>
    <n v="74"/>
    <x v="1"/>
    <x v="3"/>
  </r>
  <r>
    <s v="P1141"/>
    <x v="0"/>
    <x v="2"/>
    <x v="2"/>
    <x v="1"/>
    <n v="10"/>
    <n v="21143.75"/>
    <n v="2"/>
    <n v="42"/>
    <x v="0"/>
    <x v="0"/>
  </r>
  <r>
    <s v="P1142"/>
    <x v="4"/>
    <x v="2"/>
    <x v="4"/>
    <x v="2"/>
    <n v="37"/>
    <n v="58168.06"/>
    <n v="3"/>
    <n v="84"/>
    <x v="0"/>
    <x v="4"/>
  </r>
  <r>
    <s v="P1143"/>
    <x v="1"/>
    <x v="3"/>
    <x v="4"/>
    <x v="0"/>
    <n v="57"/>
    <n v="121600.57"/>
    <n v="19"/>
    <n v="94"/>
    <x v="1"/>
    <x v="1"/>
  </r>
  <r>
    <s v="P1144"/>
    <x v="3"/>
    <x v="1"/>
    <x v="3"/>
    <x v="1"/>
    <n v="26"/>
    <n v="60409.31"/>
    <n v="25"/>
    <n v="94"/>
    <x v="0"/>
    <x v="3"/>
  </r>
  <r>
    <s v="P1145"/>
    <x v="0"/>
    <x v="1"/>
    <x v="2"/>
    <x v="1"/>
    <n v="51"/>
    <n v="148766.01"/>
    <n v="21"/>
    <n v="76"/>
    <x v="1"/>
    <x v="1"/>
  </r>
  <r>
    <s v="P1146"/>
    <x v="0"/>
    <x v="2"/>
    <x v="3"/>
    <x v="1"/>
    <n v="1"/>
    <n v="46211.03"/>
    <n v="4"/>
    <n v="97"/>
    <x v="0"/>
    <x v="8"/>
  </r>
  <r>
    <s v="P1147"/>
    <x v="5"/>
    <x v="0"/>
    <x v="3"/>
    <x v="1"/>
    <n v="61"/>
    <n v="32781.94"/>
    <n v="1"/>
    <n v="83"/>
    <x v="0"/>
    <x v="5"/>
  </r>
  <r>
    <s v="P1148"/>
    <x v="5"/>
    <x v="1"/>
    <x v="1"/>
    <x v="2"/>
    <n v="34"/>
    <n v="139264.72"/>
    <n v="14"/>
    <n v="72"/>
    <x v="1"/>
    <x v="4"/>
  </r>
  <r>
    <s v="P1149"/>
    <x v="1"/>
    <x v="0"/>
    <x v="4"/>
    <x v="0"/>
    <n v="78"/>
    <n v="15165.98"/>
    <n v="25"/>
    <n v="86"/>
    <x v="0"/>
    <x v="2"/>
  </r>
  <r>
    <s v="P1150"/>
    <x v="0"/>
    <x v="2"/>
    <x v="1"/>
    <x v="1"/>
    <n v="73"/>
    <n v="133910.69"/>
    <n v="22"/>
    <n v="87"/>
    <x v="1"/>
    <x v="5"/>
  </r>
  <r>
    <s v="P1151"/>
    <x v="3"/>
    <x v="2"/>
    <x v="0"/>
    <x v="1"/>
    <n v="8"/>
    <n v="82835.539999999994"/>
    <n v="24"/>
    <n v="94"/>
    <x v="1"/>
    <x v="0"/>
  </r>
  <r>
    <s v="P1152"/>
    <x v="0"/>
    <x v="1"/>
    <x v="4"/>
    <x v="1"/>
    <n v="16"/>
    <n v="109945.06"/>
    <n v="23"/>
    <n v="76"/>
    <x v="1"/>
    <x v="6"/>
  </r>
  <r>
    <s v="P1153"/>
    <x v="0"/>
    <x v="1"/>
    <x v="3"/>
    <x v="2"/>
    <n v="3"/>
    <n v="40894.400000000001"/>
    <n v="20"/>
    <n v="46"/>
    <x v="0"/>
    <x v="8"/>
  </r>
  <r>
    <s v="P1154"/>
    <x v="0"/>
    <x v="1"/>
    <x v="3"/>
    <x v="2"/>
    <n v="28"/>
    <n v="5522.04"/>
    <n v="20"/>
    <n v="95"/>
    <x v="0"/>
    <x v="3"/>
  </r>
  <r>
    <s v="P1155"/>
    <x v="2"/>
    <x v="3"/>
    <x v="3"/>
    <x v="1"/>
    <n v="38"/>
    <n v="121567.96"/>
    <n v="26"/>
    <n v="65"/>
    <x v="1"/>
    <x v="4"/>
  </r>
  <r>
    <s v="P1156"/>
    <x v="0"/>
    <x v="3"/>
    <x v="4"/>
    <x v="0"/>
    <n v="2"/>
    <n v="14606.74"/>
    <n v="30"/>
    <n v="75"/>
    <x v="0"/>
    <x v="8"/>
  </r>
  <r>
    <s v="P1157"/>
    <x v="1"/>
    <x v="2"/>
    <x v="2"/>
    <x v="1"/>
    <n v="6"/>
    <n v="116568.72"/>
    <n v="24"/>
    <n v="65"/>
    <x v="1"/>
    <x v="0"/>
  </r>
  <r>
    <s v="P1158"/>
    <x v="3"/>
    <x v="1"/>
    <x v="4"/>
    <x v="1"/>
    <n v="33"/>
    <n v="70189.8"/>
    <n v="14"/>
    <n v="88"/>
    <x v="0"/>
    <x v="4"/>
  </r>
  <r>
    <s v="P1159"/>
    <x v="5"/>
    <x v="1"/>
    <x v="3"/>
    <x v="2"/>
    <n v="28"/>
    <n v="136392.39000000001"/>
    <n v="22"/>
    <n v="77"/>
    <x v="1"/>
    <x v="3"/>
  </r>
  <r>
    <s v="P1160"/>
    <x v="5"/>
    <x v="3"/>
    <x v="3"/>
    <x v="2"/>
    <n v="56"/>
    <n v="139281.34"/>
    <n v="24"/>
    <n v="96"/>
    <x v="1"/>
    <x v="1"/>
  </r>
  <r>
    <s v="P1161"/>
    <x v="1"/>
    <x v="0"/>
    <x v="3"/>
    <x v="1"/>
    <n v="80"/>
    <n v="140818.37"/>
    <n v="9"/>
    <n v="42"/>
    <x v="1"/>
    <x v="2"/>
  </r>
  <r>
    <s v="P1162"/>
    <x v="4"/>
    <x v="3"/>
    <x v="1"/>
    <x v="1"/>
    <n v="74"/>
    <n v="56018.43"/>
    <n v="7"/>
    <n v="77"/>
    <x v="0"/>
    <x v="5"/>
  </r>
  <r>
    <s v="P1163"/>
    <x v="2"/>
    <x v="3"/>
    <x v="4"/>
    <x v="2"/>
    <n v="72"/>
    <n v="144841.74"/>
    <n v="5"/>
    <n v="57"/>
    <x v="1"/>
    <x v="5"/>
  </r>
  <r>
    <s v="P1164"/>
    <x v="4"/>
    <x v="0"/>
    <x v="2"/>
    <x v="1"/>
    <n v="14"/>
    <n v="123398.79"/>
    <n v="21"/>
    <n v="77"/>
    <x v="1"/>
    <x v="6"/>
  </r>
  <r>
    <s v="P1165"/>
    <x v="1"/>
    <x v="3"/>
    <x v="4"/>
    <x v="1"/>
    <n v="48"/>
    <n v="10911.55"/>
    <n v="19"/>
    <n v="47"/>
    <x v="0"/>
    <x v="1"/>
  </r>
  <r>
    <s v="P1166"/>
    <x v="5"/>
    <x v="1"/>
    <x v="4"/>
    <x v="0"/>
    <n v="87"/>
    <n v="96532.96"/>
    <n v="7"/>
    <n v="93"/>
    <x v="1"/>
    <x v="7"/>
  </r>
  <r>
    <s v="P1167"/>
    <x v="1"/>
    <x v="3"/>
    <x v="4"/>
    <x v="2"/>
    <n v="49"/>
    <n v="126056.09"/>
    <n v="11"/>
    <n v="78"/>
    <x v="1"/>
    <x v="1"/>
  </r>
  <r>
    <s v="P1168"/>
    <x v="5"/>
    <x v="3"/>
    <x v="4"/>
    <x v="2"/>
    <n v="42"/>
    <n v="92788.13"/>
    <n v="4"/>
    <n v="41"/>
    <x v="1"/>
    <x v="4"/>
  </r>
  <r>
    <s v="P1169"/>
    <x v="1"/>
    <x v="0"/>
    <x v="3"/>
    <x v="1"/>
    <n v="36"/>
    <n v="24614.639999999999"/>
    <n v="30"/>
    <n v="57"/>
    <x v="0"/>
    <x v="4"/>
  </r>
  <r>
    <s v="P1170"/>
    <x v="4"/>
    <x v="0"/>
    <x v="0"/>
    <x v="2"/>
    <n v="56"/>
    <n v="36862.400000000001"/>
    <n v="28"/>
    <n v="66"/>
    <x v="0"/>
    <x v="1"/>
  </r>
  <r>
    <s v="P1171"/>
    <x v="0"/>
    <x v="1"/>
    <x v="0"/>
    <x v="1"/>
    <n v="39"/>
    <n v="84065.42"/>
    <n v="28"/>
    <n v="50"/>
    <x v="1"/>
    <x v="4"/>
  </r>
  <r>
    <s v="P1172"/>
    <x v="0"/>
    <x v="3"/>
    <x v="0"/>
    <x v="2"/>
    <n v="42"/>
    <n v="83047.11"/>
    <n v="13"/>
    <n v="50"/>
    <x v="1"/>
    <x v="4"/>
  </r>
  <r>
    <s v="P1173"/>
    <x v="0"/>
    <x v="0"/>
    <x v="3"/>
    <x v="2"/>
    <n v="59"/>
    <n v="96326.11"/>
    <n v="17"/>
    <n v="82"/>
    <x v="1"/>
    <x v="1"/>
  </r>
  <r>
    <s v="P1174"/>
    <x v="5"/>
    <x v="3"/>
    <x v="0"/>
    <x v="1"/>
    <n v="67"/>
    <n v="49487.73"/>
    <n v="27"/>
    <n v="72"/>
    <x v="0"/>
    <x v="5"/>
  </r>
  <r>
    <s v="P1175"/>
    <x v="0"/>
    <x v="3"/>
    <x v="1"/>
    <x v="1"/>
    <n v="11"/>
    <n v="18263.25"/>
    <n v="29"/>
    <n v="83"/>
    <x v="0"/>
    <x v="0"/>
  </r>
  <r>
    <s v="P1176"/>
    <x v="4"/>
    <x v="2"/>
    <x v="0"/>
    <x v="0"/>
    <n v="3"/>
    <n v="149013.84"/>
    <n v="26"/>
    <n v="93"/>
    <x v="1"/>
    <x v="8"/>
  </r>
  <r>
    <s v="P1177"/>
    <x v="2"/>
    <x v="1"/>
    <x v="3"/>
    <x v="2"/>
    <n v="69"/>
    <n v="46708.35"/>
    <n v="1"/>
    <n v="88"/>
    <x v="0"/>
    <x v="5"/>
  </r>
  <r>
    <s v="P1178"/>
    <x v="3"/>
    <x v="0"/>
    <x v="1"/>
    <x v="1"/>
    <n v="54"/>
    <n v="68133.7"/>
    <n v="9"/>
    <n v="60"/>
    <x v="0"/>
    <x v="1"/>
  </r>
  <r>
    <s v="P1179"/>
    <x v="5"/>
    <x v="2"/>
    <x v="0"/>
    <x v="1"/>
    <n v="82"/>
    <n v="19213.509999999998"/>
    <n v="26"/>
    <n v="96"/>
    <x v="0"/>
    <x v="2"/>
  </r>
  <r>
    <s v="P1180"/>
    <x v="3"/>
    <x v="3"/>
    <x v="3"/>
    <x v="1"/>
    <n v="60"/>
    <n v="22138.22"/>
    <n v="3"/>
    <n v="96"/>
    <x v="0"/>
    <x v="5"/>
  </r>
  <r>
    <s v="P1181"/>
    <x v="2"/>
    <x v="1"/>
    <x v="1"/>
    <x v="1"/>
    <n v="65"/>
    <n v="30460.26"/>
    <n v="21"/>
    <n v="63"/>
    <x v="0"/>
    <x v="5"/>
  </r>
  <r>
    <s v="P1182"/>
    <x v="1"/>
    <x v="2"/>
    <x v="2"/>
    <x v="1"/>
    <n v="5"/>
    <n v="52772.62"/>
    <n v="9"/>
    <n v="62"/>
    <x v="0"/>
    <x v="8"/>
  </r>
  <r>
    <s v="P1183"/>
    <x v="2"/>
    <x v="2"/>
    <x v="1"/>
    <x v="1"/>
    <n v="54"/>
    <n v="118241.71"/>
    <n v="24"/>
    <n v="81"/>
    <x v="1"/>
    <x v="1"/>
  </r>
  <r>
    <s v="P1184"/>
    <x v="0"/>
    <x v="1"/>
    <x v="4"/>
    <x v="1"/>
    <n v="64"/>
    <n v="19477.689999999999"/>
    <n v="6"/>
    <n v="65"/>
    <x v="0"/>
    <x v="5"/>
  </r>
  <r>
    <s v="P1185"/>
    <x v="5"/>
    <x v="2"/>
    <x v="2"/>
    <x v="0"/>
    <n v="77"/>
    <n v="114541.22"/>
    <n v="25"/>
    <n v="69"/>
    <x v="1"/>
    <x v="2"/>
  </r>
  <r>
    <s v="P1186"/>
    <x v="5"/>
    <x v="0"/>
    <x v="3"/>
    <x v="0"/>
    <n v="72"/>
    <n v="56437.97"/>
    <n v="21"/>
    <n v="78"/>
    <x v="0"/>
    <x v="5"/>
  </r>
  <r>
    <s v="P1187"/>
    <x v="4"/>
    <x v="1"/>
    <x v="1"/>
    <x v="1"/>
    <n v="86"/>
    <n v="53586.34"/>
    <n v="22"/>
    <n v="96"/>
    <x v="0"/>
    <x v="7"/>
  </r>
  <r>
    <s v="P1188"/>
    <x v="0"/>
    <x v="3"/>
    <x v="1"/>
    <x v="0"/>
    <n v="62"/>
    <n v="13836.03"/>
    <n v="15"/>
    <n v="60"/>
    <x v="0"/>
    <x v="5"/>
  </r>
  <r>
    <s v="P1189"/>
    <x v="1"/>
    <x v="2"/>
    <x v="2"/>
    <x v="1"/>
    <n v="38"/>
    <n v="54960.36"/>
    <n v="26"/>
    <n v="61"/>
    <x v="0"/>
    <x v="4"/>
  </r>
  <r>
    <s v="P1190"/>
    <x v="1"/>
    <x v="1"/>
    <x v="4"/>
    <x v="0"/>
    <n v="70"/>
    <n v="92629.07"/>
    <n v="11"/>
    <n v="96"/>
    <x v="1"/>
    <x v="5"/>
  </r>
  <r>
    <s v="P1191"/>
    <x v="3"/>
    <x v="3"/>
    <x v="4"/>
    <x v="2"/>
    <n v="52"/>
    <n v="69945.08"/>
    <n v="8"/>
    <n v="80"/>
    <x v="0"/>
    <x v="1"/>
  </r>
  <r>
    <s v="P1192"/>
    <x v="2"/>
    <x v="1"/>
    <x v="0"/>
    <x v="0"/>
    <n v="62"/>
    <n v="132120.79"/>
    <n v="25"/>
    <n v="81"/>
    <x v="1"/>
    <x v="5"/>
  </r>
  <r>
    <s v="P1193"/>
    <x v="2"/>
    <x v="1"/>
    <x v="3"/>
    <x v="1"/>
    <n v="22"/>
    <n v="132726.88"/>
    <n v="24"/>
    <n v="54"/>
    <x v="1"/>
    <x v="3"/>
  </r>
  <r>
    <s v="P1194"/>
    <x v="0"/>
    <x v="1"/>
    <x v="1"/>
    <x v="2"/>
    <n v="70"/>
    <n v="40806.769999999997"/>
    <n v="1"/>
    <n v="51"/>
    <x v="0"/>
    <x v="5"/>
  </r>
  <r>
    <s v="P1195"/>
    <x v="3"/>
    <x v="3"/>
    <x v="4"/>
    <x v="0"/>
    <n v="33"/>
    <n v="56926.38"/>
    <n v="11"/>
    <n v="81"/>
    <x v="0"/>
    <x v="4"/>
  </r>
  <r>
    <s v="P1196"/>
    <x v="2"/>
    <x v="1"/>
    <x v="4"/>
    <x v="2"/>
    <n v="1"/>
    <n v="87386.12"/>
    <n v="14"/>
    <n v="63"/>
    <x v="1"/>
    <x v="8"/>
  </r>
  <r>
    <s v="P1197"/>
    <x v="2"/>
    <x v="2"/>
    <x v="0"/>
    <x v="0"/>
    <n v="8"/>
    <n v="7805.22"/>
    <n v="13"/>
    <n v="91"/>
    <x v="0"/>
    <x v="0"/>
  </r>
  <r>
    <s v="P1198"/>
    <x v="2"/>
    <x v="0"/>
    <x v="1"/>
    <x v="1"/>
    <n v="90"/>
    <n v="64936.83"/>
    <n v="23"/>
    <n v="51"/>
    <x v="0"/>
    <x v="7"/>
  </r>
  <r>
    <s v="P1199"/>
    <x v="5"/>
    <x v="3"/>
    <x v="4"/>
    <x v="0"/>
    <n v="21"/>
    <n v="57025.03"/>
    <n v="18"/>
    <n v="50"/>
    <x v="0"/>
    <x v="3"/>
  </r>
  <r>
    <s v="P1200"/>
    <x v="5"/>
    <x v="3"/>
    <x v="2"/>
    <x v="0"/>
    <n v="39"/>
    <n v="145631.91"/>
    <n v="6"/>
    <n v="49"/>
    <x v="1"/>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A0124D-6B26-44DB-9B39-704845ACC448}"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B52:C56" firstHeaderRow="1" firstDataRow="1" firstDataCol="1"/>
  <pivotFields count="11">
    <pivotField showAll="0"/>
    <pivotField showAll="0">
      <items count="7">
        <item x="3"/>
        <item x="0"/>
        <item x="4"/>
        <item x="5"/>
        <item x="2"/>
        <item x="1"/>
        <item t="default"/>
      </items>
    </pivotField>
    <pivotField axis="axisRow" showAll="0">
      <items count="5">
        <item x="1"/>
        <item x="2"/>
        <item x="3"/>
        <item x="0"/>
        <item t="default"/>
      </items>
    </pivotField>
    <pivotField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dataField="1" showAll="0"/>
    <pivotField showAll="0"/>
    <pivotField showAll="0"/>
  </pivotFields>
  <rowFields count="1">
    <field x="2"/>
  </rowFields>
  <rowItems count="4">
    <i>
      <x/>
    </i>
    <i>
      <x v="1"/>
    </i>
    <i>
      <x v="2"/>
    </i>
    <i>
      <x v="3"/>
    </i>
  </rowItems>
  <colItems count="1">
    <i/>
  </colItems>
  <dataFields count="1">
    <dataField name="Avg Recovery Score" fld="8" subtotal="average" baseField="0" baseItem="1" numFmtId="2"/>
  </dataFields>
  <formats count="5">
    <format dxfId="4">
      <pivotArea type="all" dataOnly="0" outline="0" fieldPosition="0"/>
    </format>
    <format dxfId="3">
      <pivotArea outline="0" collapsedLevelsAreSubtotals="1"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8BBDE5-27A3-4770-8128-077A1A8852E8}" name="PivotTable10"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2">
  <location ref="B81:C83"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dataField="1" showAll="0"/>
    <pivotField axis="axisRow" showAll="0">
      <items count="3">
        <item x="1"/>
        <item x="0"/>
        <item t="default"/>
      </items>
    </pivotField>
    <pivotField showAll="0"/>
  </pivotFields>
  <rowFields count="1">
    <field x="9"/>
  </rowFields>
  <rowItems count="2">
    <i>
      <x/>
    </i>
    <i>
      <x v="1"/>
    </i>
  </rowItems>
  <colItems count="1">
    <i/>
  </colItems>
  <dataFields count="1">
    <dataField name="Avg Recovery Score" fld="8" subtotal="average" baseField="0" baseItem="1" numFmtId="2"/>
  </dataFields>
  <formats count="5">
    <format dxfId="9">
      <pivotArea type="all" dataOnly="0" outline="0" fieldPosition="0"/>
    </format>
    <format dxfId="8">
      <pivotArea outline="0" collapsedLevelsAreSubtotals="1" fieldPosition="0"/>
    </format>
    <format dxfId="7">
      <pivotArea field="9" type="button" dataOnly="0" labelOnly="1" outline="0" axis="axisRow" fieldPosition="0"/>
    </format>
    <format dxfId="6">
      <pivotArea dataOnly="0" labelOnly="1" fieldPosition="0">
        <references count="1">
          <reference field="9" count="0"/>
        </references>
      </pivotArea>
    </format>
    <format dxfId="5">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9" count="1" selected="0">
            <x v="0"/>
          </reference>
        </references>
      </pivotArea>
    </chartFormat>
    <chartFormat chart="25" format="2">
      <pivotArea type="data" outline="0" fieldPosition="0">
        <references count="2">
          <reference field="4294967294" count="1" selected="0">
            <x v="0"/>
          </reference>
          <reference field="9"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9" count="1" selected="0">
            <x v="0"/>
          </reference>
        </references>
      </pivotArea>
    </chartFormat>
    <chartFormat chart="30" format="8">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435EAA9-CB79-4ACC-8F75-5A0EB0E45A0B}" name="PivotTable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6">
  <location ref="B22:E28" firstHeaderRow="0" firstDataRow="1" firstDataCol="1"/>
  <pivotFields count="11">
    <pivotField showAll="0"/>
    <pivotField axis="axisRow"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showAll="0"/>
    <pivotField showAll="0"/>
    <pivotField showAll="0"/>
    <pivotField dataField="1" showAll="0"/>
    <pivotField showAll="0"/>
    <pivotField showAll="0"/>
  </pivotFields>
  <rowFields count="1">
    <field x="1"/>
  </rowFields>
  <rowItems count="6">
    <i>
      <x/>
    </i>
    <i>
      <x v="1"/>
    </i>
    <i>
      <x v="2"/>
    </i>
    <i>
      <x v="3"/>
    </i>
    <i>
      <x v="4"/>
    </i>
    <i>
      <x v="5"/>
    </i>
  </rowItems>
  <colFields count="1">
    <field x="-2"/>
  </colFields>
  <colItems count="3">
    <i>
      <x/>
    </i>
    <i i="1">
      <x v="1"/>
    </i>
    <i i="2">
      <x v="2"/>
    </i>
  </colItems>
  <dataFields count="3">
    <dataField name="Avg Recovery Score" fld="8" subtotal="average" baseField="1" baseItem="4" numFmtId="2"/>
    <dataField name="Min Recovery Score" fld="8" subtotal="min" baseField="0" baseItem="1" numFmtId="2"/>
    <dataField name="StdDev Recovery Score" fld="8" subtotal="stdDev" baseField="0" baseItem="1" numFmtId="2"/>
  </dataFields>
  <formats count="7">
    <format dxfId="16">
      <pivotArea type="all" dataOnly="0" outline="0" fieldPosition="0"/>
    </format>
    <format dxfId="15">
      <pivotArea outline="0" collapsedLevelsAreSubtotals="1" fieldPosition="0"/>
    </format>
    <format dxfId="14">
      <pivotArea field="1" type="button" dataOnly="0" labelOnly="1" outline="0" axis="axisRow" fieldPosition="0"/>
    </format>
    <format dxfId="13">
      <pivotArea dataOnly="0" labelOnly="1" fieldPosition="0">
        <references count="1">
          <reference field="1" count="0"/>
        </references>
      </pivotArea>
    </format>
    <format dxfId="12">
      <pivotArea dataOnly="0" labelOnly="1" grandRow="1" outline="0" fieldPosition="0"/>
    </format>
    <format dxfId="11">
      <pivotArea dataOnly="0" labelOnly="1" outline="0" fieldPosition="0">
        <references count="1">
          <reference field="4294967294" count="3">
            <x v="0"/>
            <x v="1"/>
            <x v="2"/>
          </reference>
        </references>
      </pivotArea>
    </format>
    <format dxfId="10">
      <pivotArea outline="0" fieldPosition="0">
        <references count="1">
          <reference field="4294967294" count="1">
            <x v="0"/>
          </reference>
        </references>
      </pivotArea>
    </format>
  </formats>
  <chartFormats count="33">
    <chartFormat chart="14"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1"/>
          </reference>
        </references>
      </pivotArea>
    </chartFormat>
    <chartFormat chart="14" format="5" series="1">
      <pivotArea type="data" outline="0" fieldPosition="0">
        <references count="1">
          <reference field="4294967294" count="1" selected="0">
            <x v="2"/>
          </reference>
        </references>
      </pivotArea>
    </chartFormat>
    <chartFormat chart="18" format="36" series="1">
      <pivotArea type="data" outline="0" fieldPosition="0">
        <references count="1">
          <reference field="4294967294" count="1" selected="0">
            <x v="0"/>
          </reference>
        </references>
      </pivotArea>
    </chartFormat>
    <chartFormat chart="18" format="37" series="1">
      <pivotArea type="data" outline="0" fieldPosition="0">
        <references count="1">
          <reference field="4294967294" count="1" selected="0">
            <x v="1"/>
          </reference>
        </references>
      </pivotArea>
    </chartFormat>
    <chartFormat chart="18" format="38">
      <pivotArea type="data" outline="0" fieldPosition="0">
        <references count="2">
          <reference field="4294967294" count="1" selected="0">
            <x v="1"/>
          </reference>
          <reference field="1" count="1" selected="0">
            <x v="0"/>
          </reference>
        </references>
      </pivotArea>
    </chartFormat>
    <chartFormat chart="18" format="39">
      <pivotArea type="data" outline="0" fieldPosition="0">
        <references count="2">
          <reference field="4294967294" count="1" selected="0">
            <x v="1"/>
          </reference>
          <reference field="1" count="1" selected="0">
            <x v="1"/>
          </reference>
        </references>
      </pivotArea>
    </chartFormat>
    <chartFormat chart="18" format="40">
      <pivotArea type="data" outline="0" fieldPosition="0">
        <references count="2">
          <reference field="4294967294" count="1" selected="0">
            <x v="1"/>
          </reference>
          <reference field="1" count="1" selected="0">
            <x v="2"/>
          </reference>
        </references>
      </pivotArea>
    </chartFormat>
    <chartFormat chart="18" format="41">
      <pivotArea type="data" outline="0" fieldPosition="0">
        <references count="2">
          <reference field="4294967294" count="1" selected="0">
            <x v="1"/>
          </reference>
          <reference field="1" count="1" selected="0">
            <x v="3"/>
          </reference>
        </references>
      </pivotArea>
    </chartFormat>
    <chartFormat chart="18" format="42">
      <pivotArea type="data" outline="0" fieldPosition="0">
        <references count="2">
          <reference field="4294967294" count="1" selected="0">
            <x v="1"/>
          </reference>
          <reference field="1" count="1" selected="0">
            <x v="4"/>
          </reference>
        </references>
      </pivotArea>
    </chartFormat>
    <chartFormat chart="18" format="43">
      <pivotArea type="data" outline="0" fieldPosition="0">
        <references count="2">
          <reference field="4294967294" count="1" selected="0">
            <x v="1"/>
          </reference>
          <reference field="1" count="1" selected="0">
            <x v="5"/>
          </reference>
        </references>
      </pivotArea>
    </chartFormat>
    <chartFormat chart="18" format="44" series="1">
      <pivotArea type="data" outline="0" fieldPosition="0">
        <references count="1">
          <reference field="4294967294" count="1" selected="0">
            <x v="2"/>
          </reference>
        </references>
      </pivotArea>
    </chartFormat>
    <chartFormat chart="18" format="45">
      <pivotArea type="data" outline="0" fieldPosition="0">
        <references count="2">
          <reference field="4294967294" count="1" selected="0">
            <x v="2"/>
          </reference>
          <reference field="1" count="1" selected="0">
            <x v="0"/>
          </reference>
        </references>
      </pivotArea>
    </chartFormat>
    <chartFormat chart="18" format="46">
      <pivotArea type="data" outline="0" fieldPosition="0">
        <references count="2">
          <reference field="4294967294" count="1" selected="0">
            <x v="2"/>
          </reference>
          <reference field="1" count="1" selected="0">
            <x v="1"/>
          </reference>
        </references>
      </pivotArea>
    </chartFormat>
    <chartFormat chart="18" format="47">
      <pivotArea type="data" outline="0" fieldPosition="0">
        <references count="2">
          <reference field="4294967294" count="1" selected="0">
            <x v="2"/>
          </reference>
          <reference field="1" count="1" selected="0">
            <x v="2"/>
          </reference>
        </references>
      </pivotArea>
    </chartFormat>
    <chartFormat chart="18" format="48">
      <pivotArea type="data" outline="0" fieldPosition="0">
        <references count="2">
          <reference field="4294967294" count="1" selected="0">
            <x v="2"/>
          </reference>
          <reference field="1" count="1" selected="0">
            <x v="3"/>
          </reference>
        </references>
      </pivotArea>
    </chartFormat>
    <chartFormat chart="18" format="49">
      <pivotArea type="data" outline="0" fieldPosition="0">
        <references count="2">
          <reference field="4294967294" count="1" selected="0">
            <x v="2"/>
          </reference>
          <reference field="1" count="1" selected="0">
            <x v="4"/>
          </reference>
        </references>
      </pivotArea>
    </chartFormat>
    <chartFormat chart="18" format="50">
      <pivotArea type="data" outline="0" fieldPosition="0">
        <references count="2">
          <reference field="4294967294" count="1" selected="0">
            <x v="2"/>
          </reference>
          <reference field="1" count="1" selected="0">
            <x v="5"/>
          </reference>
        </references>
      </pivotArea>
    </chartFormat>
    <chartFormat chart="22" format="36" series="1">
      <pivotArea type="data" outline="0" fieldPosition="0">
        <references count="1">
          <reference field="4294967294" count="1" selected="0">
            <x v="0"/>
          </reference>
        </references>
      </pivotArea>
    </chartFormat>
    <chartFormat chart="22" format="37" series="1">
      <pivotArea type="data" outline="0" fieldPosition="0">
        <references count="1">
          <reference field="4294967294" count="1" selected="0">
            <x v="1"/>
          </reference>
        </references>
      </pivotArea>
    </chartFormat>
    <chartFormat chart="22" format="38">
      <pivotArea type="data" outline="0" fieldPosition="0">
        <references count="2">
          <reference field="4294967294" count="1" selected="0">
            <x v="1"/>
          </reference>
          <reference field="1" count="1" selected="0">
            <x v="0"/>
          </reference>
        </references>
      </pivotArea>
    </chartFormat>
    <chartFormat chart="22" format="39">
      <pivotArea type="data" outline="0" fieldPosition="0">
        <references count="2">
          <reference field="4294967294" count="1" selected="0">
            <x v="1"/>
          </reference>
          <reference field="1" count="1" selected="0">
            <x v="1"/>
          </reference>
        </references>
      </pivotArea>
    </chartFormat>
    <chartFormat chart="22" format="40">
      <pivotArea type="data" outline="0" fieldPosition="0">
        <references count="2">
          <reference field="4294967294" count="1" selected="0">
            <x v="1"/>
          </reference>
          <reference field="1" count="1" selected="0">
            <x v="2"/>
          </reference>
        </references>
      </pivotArea>
    </chartFormat>
    <chartFormat chart="22" format="41">
      <pivotArea type="data" outline="0" fieldPosition="0">
        <references count="2">
          <reference field="4294967294" count="1" selected="0">
            <x v="1"/>
          </reference>
          <reference field="1" count="1" selected="0">
            <x v="3"/>
          </reference>
        </references>
      </pivotArea>
    </chartFormat>
    <chartFormat chart="22" format="42">
      <pivotArea type="data" outline="0" fieldPosition="0">
        <references count="2">
          <reference field="4294967294" count="1" selected="0">
            <x v="1"/>
          </reference>
          <reference field="1" count="1" selected="0">
            <x v="4"/>
          </reference>
        </references>
      </pivotArea>
    </chartFormat>
    <chartFormat chart="22" format="43">
      <pivotArea type="data" outline="0" fieldPosition="0">
        <references count="2">
          <reference field="4294967294" count="1" selected="0">
            <x v="1"/>
          </reference>
          <reference field="1" count="1" selected="0">
            <x v="5"/>
          </reference>
        </references>
      </pivotArea>
    </chartFormat>
    <chartFormat chart="22" format="44" series="1">
      <pivotArea type="data" outline="0" fieldPosition="0">
        <references count="1">
          <reference field="4294967294" count="1" selected="0">
            <x v="2"/>
          </reference>
        </references>
      </pivotArea>
    </chartFormat>
    <chartFormat chart="22" format="45">
      <pivotArea type="data" outline="0" fieldPosition="0">
        <references count="2">
          <reference field="4294967294" count="1" selected="0">
            <x v="2"/>
          </reference>
          <reference field="1" count="1" selected="0">
            <x v="0"/>
          </reference>
        </references>
      </pivotArea>
    </chartFormat>
    <chartFormat chart="22" format="46">
      <pivotArea type="data" outline="0" fieldPosition="0">
        <references count="2">
          <reference field="4294967294" count="1" selected="0">
            <x v="2"/>
          </reference>
          <reference field="1" count="1" selected="0">
            <x v="1"/>
          </reference>
        </references>
      </pivotArea>
    </chartFormat>
    <chartFormat chart="22" format="47">
      <pivotArea type="data" outline="0" fieldPosition="0">
        <references count="2">
          <reference field="4294967294" count="1" selected="0">
            <x v="2"/>
          </reference>
          <reference field="1" count="1" selected="0">
            <x v="2"/>
          </reference>
        </references>
      </pivotArea>
    </chartFormat>
    <chartFormat chart="22" format="48">
      <pivotArea type="data" outline="0" fieldPosition="0">
        <references count="2">
          <reference field="4294967294" count="1" selected="0">
            <x v="2"/>
          </reference>
          <reference field="1" count="1" selected="0">
            <x v="3"/>
          </reference>
        </references>
      </pivotArea>
    </chartFormat>
    <chartFormat chart="22" format="49">
      <pivotArea type="data" outline="0" fieldPosition="0">
        <references count="2">
          <reference field="4294967294" count="1" selected="0">
            <x v="2"/>
          </reference>
          <reference field="1" count="1" selected="0">
            <x v="4"/>
          </reference>
        </references>
      </pivotArea>
    </chartFormat>
    <chartFormat chart="22" format="50">
      <pivotArea type="data" outline="0" fieldPosition="0">
        <references count="2">
          <reference field="4294967294" count="1" selected="0">
            <x v="2"/>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45E1B22-6762-4AAB-94E7-E5DC1A768E74}"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8">
  <location ref="B65:C68"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axis="axisRow" showAll="0">
      <items count="4">
        <item x="0"/>
        <item x="1"/>
        <item x="2"/>
        <item t="default"/>
      </items>
    </pivotField>
    <pivotField showAll="0"/>
    <pivotField showAll="0"/>
    <pivotField showAll="0"/>
    <pivotField dataField="1" showAll="0"/>
    <pivotField showAll="0"/>
    <pivotField showAll="0"/>
  </pivotFields>
  <rowFields count="1">
    <field x="4"/>
  </rowFields>
  <rowItems count="3">
    <i>
      <x/>
    </i>
    <i>
      <x v="1"/>
    </i>
    <i>
      <x v="2"/>
    </i>
  </rowItems>
  <colItems count="1">
    <i/>
  </colItems>
  <dataFields count="1">
    <dataField name="Avg Recovery Score" fld="8" subtotal="average" baseField="0" baseItem="1" numFmtId="2"/>
  </dataFields>
  <formats count="13">
    <format dxfId="29">
      <pivotArea type="all" dataOnly="0" outline="0" fieldPosition="0"/>
    </format>
    <format dxfId="28">
      <pivotArea outline="0" collapsedLevelsAreSubtotals="1" fieldPosition="0"/>
    </format>
    <format dxfId="27">
      <pivotArea field="3" type="button" dataOnly="0" labelOnly="1" outline="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3" type="button" dataOnly="0" labelOnly="1" outline="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4" type="button" dataOnly="0" labelOnly="1" outline="0" axis="axisRow" fieldPosition="0"/>
    </format>
    <format dxfId="18">
      <pivotArea dataOnly="0" labelOnly="1" fieldPosition="0">
        <references count="1">
          <reference field="4" count="0"/>
        </references>
      </pivotArea>
    </format>
    <format dxfId="17">
      <pivotArea dataOnly="0" labelOnly="1" outline="0" axis="axisValues" fieldPosition="0"/>
    </format>
  </formats>
  <chartFormats count="12">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4" count="1" selected="0">
            <x v="0"/>
          </reference>
        </references>
      </pivotArea>
    </chartFormat>
    <chartFormat chart="23" format="2">
      <pivotArea type="data" outline="0" fieldPosition="0">
        <references count="2">
          <reference field="4294967294" count="1" selected="0">
            <x v="0"/>
          </reference>
          <reference field="4" count="1" selected="0">
            <x v="1"/>
          </reference>
        </references>
      </pivotArea>
    </chartFormat>
    <chartFormat chart="23" format="3">
      <pivotArea type="data" outline="0" fieldPosition="0">
        <references count="2">
          <reference field="4294967294" count="1" selected="0">
            <x v="0"/>
          </reference>
          <reference field="4" count="1" selected="0">
            <x v="2"/>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4" count="1" selected="0">
            <x v="0"/>
          </reference>
        </references>
      </pivotArea>
    </chartFormat>
    <chartFormat chart="26" format="10">
      <pivotArea type="data" outline="0" fieldPosition="0">
        <references count="2">
          <reference field="4294967294" count="1" selected="0">
            <x v="0"/>
          </reference>
          <reference field="4" count="1" selected="0">
            <x v="1"/>
          </reference>
        </references>
      </pivotArea>
    </chartFormat>
    <chartFormat chart="2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2AE000-B55E-4F3A-8549-D14EEAE6E865}" name="PivotTable11"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9">
  <location ref="B99:C108"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dataField="1" showAll="0"/>
    <pivotField showAll="0"/>
    <pivotField axis="axisRow" showAll="0">
      <items count="10">
        <item x="4"/>
        <item x="0"/>
        <item x="8"/>
        <item x="5"/>
        <item x="1"/>
        <item x="2"/>
        <item x="7"/>
        <item x="6"/>
        <item x="3"/>
        <item t="default"/>
      </items>
    </pivotField>
  </pivotFields>
  <rowFields count="1">
    <field x="10"/>
  </rowFields>
  <rowItems count="9">
    <i>
      <x/>
    </i>
    <i>
      <x v="1"/>
    </i>
    <i>
      <x v="2"/>
    </i>
    <i>
      <x v="3"/>
    </i>
    <i>
      <x v="4"/>
    </i>
    <i>
      <x v="5"/>
    </i>
    <i>
      <x v="6"/>
    </i>
    <i>
      <x v="7"/>
    </i>
    <i>
      <x v="8"/>
    </i>
  </rowItems>
  <colItems count="1">
    <i/>
  </colItems>
  <dataFields count="1">
    <dataField name="Avg Recovery Score" fld="8" subtotal="average" baseField="0" baseItem="1" numFmtId="2"/>
  </dataFields>
  <formats count="5">
    <format dxfId="34">
      <pivotArea type="all" dataOnly="0" outline="0" fieldPosition="0"/>
    </format>
    <format dxfId="33">
      <pivotArea outline="0" collapsedLevelsAreSubtotals="1" fieldPosition="0"/>
    </format>
    <format dxfId="32">
      <pivotArea field="10" type="button" dataOnly="0" labelOnly="1" outline="0" axis="axisRow" fieldPosition="0"/>
    </format>
    <format dxfId="31">
      <pivotArea dataOnly="0" labelOnly="1" fieldPosition="0">
        <references count="1">
          <reference field="10" count="0"/>
        </references>
      </pivotArea>
    </format>
    <format dxfId="30">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B9CFE6-F2D8-4110-A000-4A1202B6C61B}"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1">
  <location ref="B38:C43" firstHeaderRow="1" firstDataRow="1" firstDataCol="1"/>
  <pivotFields count="11">
    <pivotField showAll="0"/>
    <pivotField showAll="0">
      <items count="7">
        <item x="3"/>
        <item x="0"/>
        <item x="4"/>
        <item x="5"/>
        <item x="2"/>
        <item x="1"/>
        <item t="default"/>
      </items>
    </pivotField>
    <pivotField showAll="0">
      <items count="5">
        <item x="1"/>
        <item x="2"/>
        <item x="3"/>
        <item x="0"/>
        <item t="default"/>
      </items>
    </pivotField>
    <pivotField axis="axisRow" showAll="0" sortType="ascending">
      <items count="6">
        <item x="3"/>
        <item x="0"/>
        <item x="1"/>
        <item x="4"/>
        <item x="2"/>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dataField="1" showAll="0"/>
    <pivotField showAll="0"/>
    <pivotField showAll="0"/>
  </pivotFields>
  <rowFields count="1">
    <field x="3"/>
  </rowFields>
  <rowItems count="5">
    <i>
      <x v="3"/>
    </i>
    <i>
      <x v="4"/>
    </i>
    <i>
      <x/>
    </i>
    <i>
      <x v="1"/>
    </i>
    <i>
      <x v="2"/>
    </i>
  </rowItems>
  <colItems count="1">
    <i/>
  </colItems>
  <dataFields count="1">
    <dataField name="Avg Recovery Score" fld="8" subtotal="average" baseField="0" baseItem="1" numFmtId="2"/>
  </dataFields>
  <formats count="5">
    <format dxfId="39">
      <pivotArea type="all" dataOnly="0" outline="0" fieldPosition="0"/>
    </format>
    <format dxfId="38">
      <pivotArea outline="0" collapsedLevelsAreSubtotals="1" fieldPosition="0"/>
    </format>
    <format dxfId="37">
      <pivotArea field="3" type="button" dataOnly="0" labelOnly="1" outline="0" axis="axisRow" fieldPosition="0"/>
    </format>
    <format dxfId="36">
      <pivotArea dataOnly="0" labelOnly="1" fieldPosition="0">
        <references count="1">
          <reference field="3" count="0"/>
        </references>
      </pivotArea>
    </format>
    <format dxfId="35">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8" format="68" series="1">
      <pivotArea type="data" outline="0" fieldPosition="0">
        <references count="1">
          <reference field="4294967294" count="1" selected="0">
            <x v="0"/>
          </reference>
        </references>
      </pivotArea>
    </chartFormat>
    <chartFormat chart="28" format="69">
      <pivotArea type="data" outline="0" fieldPosition="0">
        <references count="2">
          <reference field="4294967294" count="1" selected="0">
            <x v="0"/>
          </reference>
          <reference field="3" count="1" selected="0">
            <x v="3"/>
          </reference>
        </references>
      </pivotArea>
    </chartFormat>
    <chartFormat chart="28" format="70">
      <pivotArea type="data" outline="0" fieldPosition="0">
        <references count="2">
          <reference field="4294967294" count="1" selected="0">
            <x v="0"/>
          </reference>
          <reference field="3" count="1" selected="0">
            <x v="4"/>
          </reference>
        </references>
      </pivotArea>
    </chartFormat>
    <chartFormat chart="28" format="71">
      <pivotArea type="data" outline="0" fieldPosition="0">
        <references count="2">
          <reference field="4294967294" count="1" selected="0">
            <x v="0"/>
          </reference>
          <reference field="3" count="1" selected="0">
            <x v="0"/>
          </reference>
        </references>
      </pivotArea>
    </chartFormat>
    <chartFormat chart="28" format="72">
      <pivotArea type="data" outline="0" fieldPosition="0">
        <references count="2">
          <reference field="4294967294" count="1" selected="0">
            <x v="0"/>
          </reference>
          <reference field="3" count="1" selected="0">
            <x v="1"/>
          </reference>
        </references>
      </pivotArea>
    </chartFormat>
    <chartFormat chart="28" format="7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D2632BB-E013-49AD-BA98-7BE361A0B749}" name="KPI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F4" firstHeaderRow="0" firstDataRow="1" firstDataCol="0"/>
  <pivotFields count="11">
    <pivotField dataField="1" showAll="0"/>
    <pivotField showAll="0">
      <items count="7">
        <item x="3"/>
        <item x="0"/>
        <item x="4"/>
        <item x="5"/>
        <item x="2"/>
        <item x="1"/>
        <item t="default"/>
      </items>
    </pivotField>
    <pivotField showAll="0">
      <items count="5">
        <item x="1"/>
        <item x="2"/>
        <item x="3"/>
        <item x="0"/>
        <item t="default"/>
      </items>
    </pivotField>
    <pivotField showAll="0">
      <items count="6">
        <item x="3"/>
        <item x="0"/>
        <item x="1"/>
        <item x="4"/>
        <item x="2"/>
        <item t="default"/>
      </items>
    </pivotField>
    <pivotField showAll="0">
      <items count="4">
        <item x="0"/>
        <item x="1"/>
        <item x="2"/>
        <item t="default"/>
      </items>
    </pivotField>
    <pivotField dataField="1" showAll="0"/>
    <pivotField dataField="1" showAll="0"/>
    <pivotField dataField="1" showAll="0"/>
    <pivotField dataField="1" showAll="0"/>
    <pivotField showAll="0"/>
    <pivotField showAll="0"/>
  </pivotFields>
  <rowItems count="1">
    <i/>
  </rowItems>
  <colFields count="1">
    <field x="-2"/>
  </colFields>
  <colItems count="5">
    <i>
      <x/>
    </i>
    <i i="1">
      <x v="1"/>
    </i>
    <i i="2">
      <x v="2"/>
    </i>
    <i i="3">
      <x v="3"/>
    </i>
    <i i="4">
      <x v="4"/>
    </i>
  </colItems>
  <dataFields count="5">
    <dataField name="Patient Count " fld="0" subtotal="count" baseField="0" baseItem="0"/>
    <dataField name="Average of Treatment Cost" fld="6" subtotal="average" baseField="0" baseItem="1" numFmtId="164"/>
    <dataField name="Average of Age" fld="5" subtotal="average" baseField="0" baseItem="1" numFmtId="2"/>
    <dataField name="Average of Hospital Stay (Days)" fld="7" subtotal="average" baseField="0" baseItem="1" numFmtId="2"/>
    <dataField name="Average of Recovery Score" fld="8" subtotal="average" baseField="0" baseItem="4" numFmtId="2"/>
  </dataFields>
  <formats count="1">
    <format dxfId="40">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6ACE766-B797-4B48-A427-3D4B79880CF8}" autoFormatId="16" applyNumberFormats="0" applyBorderFormats="0" applyFontFormats="0" applyPatternFormats="0" applyAlignmentFormats="0" applyWidthHeightFormats="0">
  <queryTableRefresh nextId="12" unboundColumnsRight="2">
    <queryTableFields count="11">
      <queryTableField id="1" name="Patient ID" tableColumnId="1"/>
      <queryTableField id="2" name="Department" tableColumnId="2"/>
      <queryTableField id="3" name="Treatment Type" tableColumnId="3"/>
      <queryTableField id="4" name="Doctor Name" tableColumnId="4"/>
      <queryTableField id="5" name="Gender" tableColumnId="5"/>
      <queryTableField id="6" name="Age" tableColumnId="6"/>
      <queryTableField id="7" name="Treatment Cost" tableColumnId="7"/>
      <queryTableField id="8" name="Hospital Stay (Days)" tableColumnId="8"/>
      <queryTableField id="9" name="Recovery Score" tableColumnId="9"/>
      <queryTableField id="10" dataBound="0" tableColumnId="10"/>
      <queryTableField id="11" dataBound="0"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39CB132-C60F-4340-A4FC-98861BA670DA}" sourceName="Department">
  <pivotTables>
    <pivotTable tabId="4" name="KPIS"/>
    <pivotTable tabId="4" name="PivotTable1"/>
    <pivotTable tabId="4" name="PivotTable2"/>
    <pivotTable tabId="4" name="PivotTable4"/>
    <pivotTable tabId="4" name="PivotTable5"/>
    <pivotTable tabId="4" name="PivotTable10"/>
    <pivotTable tabId="4" name="PivotTable11"/>
  </pivotTables>
  <data>
    <tabular pivotCacheId="1424401742">
      <items count="6">
        <i x="3" s="1"/>
        <i x="0" s="1"/>
        <i x="4" s="1"/>
        <i x="5"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Type" xr10:uid="{A50A1DD7-7D01-4058-8145-35CD4CD02FC4}" sourceName="Treatment Type">
  <pivotTables>
    <pivotTable tabId="4" name="KPIS"/>
    <pivotTable tabId="4" name="PivotTable1"/>
    <pivotTable tabId="4" name="PivotTable2"/>
    <pivotTable tabId="4" name="PivotTable4"/>
    <pivotTable tabId="4" name="PivotTable5"/>
    <pivotTable tabId="4" name="PivotTable10"/>
    <pivotTable tabId="4" name="PivotTable11"/>
  </pivotTables>
  <data>
    <tabular pivotCacheId="1424401742">
      <items count="4">
        <i x="1" s="1"/>
        <i x="2"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octor_Name" xr10:uid="{E8E8DCAD-D7AE-460A-BC8C-2F587C8DC7D1}" sourceName="Doctor Name">
  <pivotTables>
    <pivotTable tabId="4" name="KPIS"/>
    <pivotTable tabId="4" name="PivotTable1"/>
    <pivotTable tabId="4" name="PivotTable2"/>
    <pivotTable tabId="4" name="PivotTable4"/>
    <pivotTable tabId="4" name="PivotTable5"/>
    <pivotTable tabId="4" name="PivotTable10"/>
    <pivotTable tabId="4" name="PivotTable11"/>
  </pivotTables>
  <data>
    <tabular pivotCacheId="1424401742">
      <items count="5">
        <i x="3" s="1"/>
        <i x="0" s="1"/>
        <i x="1"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44E28BE-82AC-4859-9316-76B3C0E00FEA}" sourceName="Gender">
  <pivotTables>
    <pivotTable tabId="4" name="KPIS"/>
    <pivotTable tabId="4" name="PivotTable1"/>
    <pivotTable tabId="4" name="PivotTable2"/>
    <pivotTable tabId="4" name="PivotTable4"/>
    <pivotTable tabId="4" name="PivotTable5"/>
    <pivotTable tabId="4" name="PivotTable10"/>
    <pivotTable tabId="4" name="PivotTable11"/>
  </pivotTables>
  <data>
    <tabular pivotCacheId="142440174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A86BABB9-67EB-4C60-BC28-51C5AF2744FC}" cache="Slicer_Department" caption="Department" rowHeight="257175"/>
  <slicer name="Treatment Type" xr10:uid="{6B257ACF-6975-4803-8FAC-810380331C83}" cache="Slicer_Treatment_Type" caption="Treatment Type" rowHeight="257175"/>
  <slicer name="Doctor Name" xr10:uid="{42FAE33A-A0AC-44E0-850A-96681F1E5004}" cache="Slicer_Doctor_Name" caption="Doctor Name" rowHeight="257175"/>
  <slicer name="Gender" xr10:uid="{AC5B5509-BC07-4632-8C2E-F38A369F005E}" cache="Slicer_Gender" caption="Gender"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D3548F0-E6C8-4413-8E28-B6F065944788}" cache="Slicer_Department" caption="Department" startItem="1" style="My...SlicerStyleLight6 2" rowHeight="396000"/>
  <slicer name="Treatment Type 2" xr10:uid="{3FBAC0D6-B87D-41F7-B83D-A7429BCD4DF2}" cache="Slicer_Treatment_Type" caption="Treatment Type" startItem="1" style="My...SlicerStyleLight6 2" rowHeight="396000"/>
  <slicer name="Doctor Name 3" xr10:uid="{76488ACC-07FF-44AE-A7E8-963B9DC0C6B0}" cache="Slicer_Doctor_Name" caption="Doctor Name" startItem="1" style="My...SlicerStyleLight6 2" rowHeight="396000"/>
  <slicer name="Gender 2" xr10:uid="{3A323711-1C4C-4202-BB29-BFE32449F4B3}" cache="Slicer_Gender" caption="Gender" style="My...SlicerStyleLight6 2"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8E3981-DDF4-44FE-88EF-AE69067B4EFB}" name="hospital_patient_treatment_dataset" displayName="hospital_patient_treatment_dataset" ref="A1:K201" tableType="queryTable" totalsRowShown="0">
  <autoFilter ref="A1:K201" xr:uid="{9C8E3981-DDF4-44FE-88EF-AE69067B4EFB}"/>
  <tableColumns count="11">
    <tableColumn id="1" xr3:uid="{6400CB2A-A5A5-4D8D-BBE4-6B0CA0A13382}" uniqueName="1" name="Patient ID" queryTableFieldId="1" dataDxfId="47"/>
    <tableColumn id="2" xr3:uid="{310ED4AE-481C-4705-B389-830B89C6C2CD}" uniqueName="2" name="Department" queryTableFieldId="2" dataDxfId="46"/>
    <tableColumn id="3" xr3:uid="{C45AF5DA-503A-46BE-B7B8-1A3ACDEA1214}" uniqueName="3" name="Treatment Type" queryTableFieldId="3" dataDxfId="45"/>
    <tableColumn id="4" xr3:uid="{A117801A-167A-469D-A0D6-7B698D704F93}" uniqueName="4" name="Doctor Name" queryTableFieldId="4" dataDxfId="44"/>
    <tableColumn id="5" xr3:uid="{778F0A89-69F7-4E1E-B4D5-CDA4A12583BB}" uniqueName="5" name="Gender" queryTableFieldId="5" dataDxfId="43"/>
    <tableColumn id="6" xr3:uid="{D02F387E-B5D5-4B70-8C87-8E98FBCEE518}" uniqueName="6" name="Age" queryTableFieldId="6"/>
    <tableColumn id="7" xr3:uid="{5BBC5CA9-0704-403F-826A-A50E61C126E0}" uniqueName="7" name="Treatment Cost" queryTableFieldId="7"/>
    <tableColumn id="8" xr3:uid="{5DAB76B5-217D-4F11-91E5-62266B626A95}" uniqueName="8" name="Hospital Stay (Days)" queryTableFieldId="8"/>
    <tableColumn id="9" xr3:uid="{F2646FDA-7F30-4B9C-960A-51290858CACF}" uniqueName="9" name="Recovery Score" queryTableFieldId="9"/>
    <tableColumn id="10" xr3:uid="{F553A9C8-E258-4354-8B80-DF1AA8F5808F}" uniqueName="10" name="Cost Category" queryTableFieldId="10" dataDxfId="42">
      <calculatedColumnFormula>IF(hospital_patient_treatment_dataset[[#This Row],[Treatment Cost]]&gt;75000,"High Cost","Low Cost")</calculatedColumnFormula>
    </tableColumn>
    <tableColumn id="11" xr3:uid="{EA04CC2A-F50E-487A-B236-47816DCB0ADA}" uniqueName="11" name="Aged Group" queryTableFieldId="11" dataDxfId="41">
      <calculatedColumnFormula>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A97BDB-E84E-46EE-B7FA-CB33C8698C2A}">
  <sheetPr>
    <tabColor theme="9" tint="-0.499984740745262"/>
  </sheetPr>
  <dimension ref="A1:K201"/>
  <sheetViews>
    <sheetView topLeftCell="C1" workbookViewId="0">
      <selection activeCell="M6" sqref="M6"/>
    </sheetView>
  </sheetViews>
  <sheetFormatPr defaultColWidth="17.5703125" defaultRowHeight="15" x14ac:dyDescent="0.25"/>
  <cols>
    <col min="1" max="1" width="12.140625" bestFit="1" customWidth="1"/>
    <col min="2" max="2" width="16.140625" bestFit="1" customWidth="1"/>
    <col min="3" max="3" width="17.42578125" bestFit="1" customWidth="1"/>
    <col min="4" max="4" width="15.140625" bestFit="1" customWidth="1"/>
    <col min="5" max="5" width="10" bestFit="1" customWidth="1"/>
    <col min="6" max="6" width="6.5703125" bestFit="1" customWidth="1"/>
    <col min="7" max="7" width="17.42578125" bestFit="1" customWidth="1"/>
    <col min="8" max="8" width="21.7109375" bestFit="1" customWidth="1"/>
    <col min="9" max="9" width="17.42578125" bestFit="1" customWidth="1"/>
    <col min="10" max="10" width="16.28515625" bestFit="1" customWidth="1"/>
    <col min="11" max="11" width="13.7109375" bestFit="1" customWidth="1"/>
  </cols>
  <sheetData>
    <row r="1" spans="1:11" x14ac:dyDescent="0.25">
      <c r="A1" t="s">
        <v>0</v>
      </c>
      <c r="B1" t="s">
        <v>1</v>
      </c>
      <c r="C1" t="s">
        <v>2</v>
      </c>
      <c r="D1" t="s">
        <v>3</v>
      </c>
      <c r="E1" t="s">
        <v>4</v>
      </c>
      <c r="F1" t="s">
        <v>5</v>
      </c>
      <c r="G1" t="s">
        <v>6</v>
      </c>
      <c r="H1" t="s">
        <v>7</v>
      </c>
      <c r="I1" t="s">
        <v>8</v>
      </c>
      <c r="J1" t="s">
        <v>238</v>
      </c>
      <c r="K1" t="s">
        <v>242</v>
      </c>
    </row>
    <row r="2" spans="1:11" x14ac:dyDescent="0.25">
      <c r="A2" t="s">
        <v>9</v>
      </c>
      <c r="B2" t="s">
        <v>10</v>
      </c>
      <c r="C2" t="s">
        <v>11</v>
      </c>
      <c r="D2" t="s">
        <v>12</v>
      </c>
      <c r="E2" t="s">
        <v>13</v>
      </c>
      <c r="F2">
        <v>12</v>
      </c>
      <c r="G2">
        <v>68632.97</v>
      </c>
      <c r="H2">
        <v>21</v>
      </c>
      <c r="I2">
        <v>82</v>
      </c>
      <c r="J2" t="str">
        <f>IF(hospital_patient_treatment_dataset[[#This Row],[Treatment Cost]]&gt;75000,"High Cost","Low Cost")</f>
        <v>Low Cost</v>
      </c>
      <c r="K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3" spans="1:11" x14ac:dyDescent="0.25">
      <c r="A3" t="s">
        <v>14</v>
      </c>
      <c r="B3" t="s">
        <v>15</v>
      </c>
      <c r="C3" t="s">
        <v>16</v>
      </c>
      <c r="D3" t="s">
        <v>17</v>
      </c>
      <c r="E3" t="s">
        <v>18</v>
      </c>
      <c r="F3">
        <v>52</v>
      </c>
      <c r="G3">
        <v>10231.42</v>
      </c>
      <c r="H3">
        <v>20</v>
      </c>
      <c r="I3">
        <v>42</v>
      </c>
      <c r="J3" t="str">
        <f>IF(hospital_patient_treatment_dataset[[#This Row],[Treatment Cost]]&gt;75000,"High Cost","Low Cost")</f>
        <v>Low Cost</v>
      </c>
      <c r="K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4" spans="1:11" x14ac:dyDescent="0.25">
      <c r="A4" t="s">
        <v>19</v>
      </c>
      <c r="B4" t="s">
        <v>15</v>
      </c>
      <c r="C4" t="s">
        <v>11</v>
      </c>
      <c r="D4" t="s">
        <v>12</v>
      </c>
      <c r="E4" t="s">
        <v>18</v>
      </c>
      <c r="F4">
        <v>79</v>
      </c>
      <c r="G4">
        <v>10160.24</v>
      </c>
      <c r="H4">
        <v>2</v>
      </c>
      <c r="I4">
        <v>72</v>
      </c>
      <c r="J4" t="str">
        <f>IF(hospital_patient_treatment_dataset[[#This Row],[Treatment Cost]]&gt;75000,"High Cost","Low Cost")</f>
        <v>Low Cost</v>
      </c>
      <c r="K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5" spans="1:11" x14ac:dyDescent="0.25">
      <c r="A5" t="s">
        <v>20</v>
      </c>
      <c r="B5" t="s">
        <v>15</v>
      </c>
      <c r="C5" t="s">
        <v>11</v>
      </c>
      <c r="D5" t="s">
        <v>12</v>
      </c>
      <c r="E5" t="s">
        <v>13</v>
      </c>
      <c r="F5">
        <v>23</v>
      </c>
      <c r="G5">
        <v>103508.96</v>
      </c>
      <c r="H5">
        <v>20</v>
      </c>
      <c r="I5">
        <v>50</v>
      </c>
      <c r="J5" t="str">
        <f>IF(hospital_patient_treatment_dataset[[#This Row],[Treatment Cost]]&gt;75000,"High Cost","Low Cost")</f>
        <v>High Cost</v>
      </c>
      <c r="K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6" spans="1:11" x14ac:dyDescent="0.25">
      <c r="A6" t="s">
        <v>21</v>
      </c>
      <c r="B6" t="s">
        <v>22</v>
      </c>
      <c r="C6" t="s">
        <v>16</v>
      </c>
      <c r="D6" t="s">
        <v>23</v>
      </c>
      <c r="E6" t="s">
        <v>13</v>
      </c>
      <c r="F6">
        <v>7</v>
      </c>
      <c r="G6">
        <v>143427.51999999999</v>
      </c>
      <c r="H6">
        <v>6</v>
      </c>
      <c r="I6">
        <v>43</v>
      </c>
      <c r="J6" t="str">
        <f>IF(hospital_patient_treatment_dataset[[#This Row],[Treatment Cost]]&gt;75000,"High Cost","Low Cost")</f>
        <v>High Cost</v>
      </c>
      <c r="K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7" spans="1:11" x14ac:dyDescent="0.25">
      <c r="A7" t="s">
        <v>24</v>
      </c>
      <c r="B7" t="s">
        <v>25</v>
      </c>
      <c r="C7" t="s">
        <v>16</v>
      </c>
      <c r="D7" t="s">
        <v>26</v>
      </c>
      <c r="E7" t="s">
        <v>13</v>
      </c>
      <c r="F7">
        <v>78</v>
      </c>
      <c r="G7">
        <v>146252.19</v>
      </c>
      <c r="H7">
        <v>9</v>
      </c>
      <c r="I7">
        <v>41</v>
      </c>
      <c r="J7" t="str">
        <f>IF(hospital_patient_treatment_dataset[[#This Row],[Treatment Cost]]&gt;75000,"High Cost","Low Cost")</f>
        <v>High Cost</v>
      </c>
      <c r="K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8" spans="1:11" x14ac:dyDescent="0.25">
      <c r="A8" t="s">
        <v>27</v>
      </c>
      <c r="B8" t="s">
        <v>25</v>
      </c>
      <c r="C8" t="s">
        <v>28</v>
      </c>
      <c r="D8" t="s">
        <v>17</v>
      </c>
      <c r="E8" t="s">
        <v>29</v>
      </c>
      <c r="F8">
        <v>30</v>
      </c>
      <c r="G8">
        <v>54393.48</v>
      </c>
      <c r="H8">
        <v>1</v>
      </c>
      <c r="I8">
        <v>42</v>
      </c>
      <c r="J8" t="str">
        <f>IF(hospital_patient_treatment_dataset[[#This Row],[Treatment Cost]]&gt;75000,"High Cost","Low Cost")</f>
        <v>Low Cost</v>
      </c>
      <c r="K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9" spans="1:11" x14ac:dyDescent="0.25">
      <c r="A9" t="s">
        <v>30</v>
      </c>
      <c r="B9" t="s">
        <v>31</v>
      </c>
      <c r="C9" t="s">
        <v>28</v>
      </c>
      <c r="D9" t="s">
        <v>32</v>
      </c>
      <c r="E9" t="s">
        <v>29</v>
      </c>
      <c r="F9">
        <v>68</v>
      </c>
      <c r="G9">
        <v>30452.22</v>
      </c>
      <c r="H9">
        <v>6</v>
      </c>
      <c r="I9">
        <v>77</v>
      </c>
      <c r="J9" t="str">
        <f>IF(hospital_patient_treatment_dataset[[#This Row],[Treatment Cost]]&gt;75000,"High Cost","Low Cost")</f>
        <v>Low Cost</v>
      </c>
      <c r="K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0" spans="1:11" x14ac:dyDescent="0.25">
      <c r="A10" t="s">
        <v>33</v>
      </c>
      <c r="B10" t="s">
        <v>10</v>
      </c>
      <c r="C10" t="s">
        <v>28</v>
      </c>
      <c r="D10" t="s">
        <v>12</v>
      </c>
      <c r="E10" t="s">
        <v>29</v>
      </c>
      <c r="F10">
        <v>41</v>
      </c>
      <c r="G10">
        <v>79517.25</v>
      </c>
      <c r="H10">
        <v>9</v>
      </c>
      <c r="I10">
        <v>62</v>
      </c>
      <c r="J10" t="str">
        <f>IF(hospital_patient_treatment_dataset[[#This Row],[Treatment Cost]]&gt;75000,"High Cost","Low Cost")</f>
        <v>High Cost</v>
      </c>
      <c r="K1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1" spans="1:11" x14ac:dyDescent="0.25">
      <c r="A11" t="s">
        <v>34</v>
      </c>
      <c r="B11" t="s">
        <v>15</v>
      </c>
      <c r="C11" t="s">
        <v>16</v>
      </c>
      <c r="D11" t="s">
        <v>23</v>
      </c>
      <c r="E11" t="s">
        <v>29</v>
      </c>
      <c r="F11">
        <v>56</v>
      </c>
      <c r="G11">
        <v>116558.38</v>
      </c>
      <c r="H11">
        <v>24</v>
      </c>
      <c r="I11">
        <v>48</v>
      </c>
      <c r="J11" t="str">
        <f>IF(hospital_patient_treatment_dataset[[#This Row],[Treatment Cost]]&gt;75000,"High Cost","Low Cost")</f>
        <v>High Cost</v>
      </c>
      <c r="K1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2" spans="1:11" x14ac:dyDescent="0.25">
      <c r="A12" t="s">
        <v>35</v>
      </c>
      <c r="B12" t="s">
        <v>36</v>
      </c>
      <c r="C12" t="s">
        <v>16</v>
      </c>
      <c r="D12" t="s">
        <v>23</v>
      </c>
      <c r="E12" t="s">
        <v>13</v>
      </c>
      <c r="F12">
        <v>24</v>
      </c>
      <c r="G12">
        <v>135883.74</v>
      </c>
      <c r="H12">
        <v>15</v>
      </c>
      <c r="I12">
        <v>54</v>
      </c>
      <c r="J12" t="str">
        <f>IF(hospital_patient_treatment_dataset[[#This Row],[Treatment Cost]]&gt;75000,"High Cost","Low Cost")</f>
        <v>High Cost</v>
      </c>
      <c r="K1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3" spans="1:11" x14ac:dyDescent="0.25">
      <c r="A13" t="s">
        <v>37</v>
      </c>
      <c r="B13" t="s">
        <v>15</v>
      </c>
      <c r="C13" t="s">
        <v>28</v>
      </c>
      <c r="D13" t="s">
        <v>17</v>
      </c>
      <c r="E13" t="s">
        <v>13</v>
      </c>
      <c r="F13">
        <v>62</v>
      </c>
      <c r="G13">
        <v>148179.98000000001</v>
      </c>
      <c r="H13">
        <v>11</v>
      </c>
      <c r="I13">
        <v>87</v>
      </c>
      <c r="J13" t="str">
        <f>IF(hospital_patient_treatment_dataset[[#This Row],[Treatment Cost]]&gt;75000,"High Cost","Low Cost")</f>
        <v>High Cost</v>
      </c>
      <c r="K1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4" spans="1:11" x14ac:dyDescent="0.25">
      <c r="A14" t="s">
        <v>38</v>
      </c>
      <c r="B14" t="s">
        <v>25</v>
      </c>
      <c r="C14" t="s">
        <v>28</v>
      </c>
      <c r="D14" t="s">
        <v>32</v>
      </c>
      <c r="E14" t="s">
        <v>13</v>
      </c>
      <c r="F14">
        <v>65</v>
      </c>
      <c r="G14">
        <v>20591.650000000001</v>
      </c>
      <c r="H14">
        <v>28</v>
      </c>
      <c r="I14">
        <v>52</v>
      </c>
      <c r="J14" t="str">
        <f>IF(hospital_patient_treatment_dataset[[#This Row],[Treatment Cost]]&gt;75000,"High Cost","Low Cost")</f>
        <v>Low Cost</v>
      </c>
      <c r="K1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5" spans="1:11" x14ac:dyDescent="0.25">
      <c r="A15" t="s">
        <v>39</v>
      </c>
      <c r="B15" t="s">
        <v>10</v>
      </c>
      <c r="C15" t="s">
        <v>28</v>
      </c>
      <c r="D15" t="s">
        <v>12</v>
      </c>
      <c r="E15" t="s">
        <v>13</v>
      </c>
      <c r="F15">
        <v>13</v>
      </c>
      <c r="G15">
        <v>59149.07</v>
      </c>
      <c r="H15">
        <v>19</v>
      </c>
      <c r="I15">
        <v>86</v>
      </c>
      <c r="J15" t="str">
        <f>IF(hospital_patient_treatment_dataset[[#This Row],[Treatment Cost]]&gt;75000,"High Cost","Low Cost")</f>
        <v>Low Cost</v>
      </c>
      <c r="K1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16" spans="1:11" x14ac:dyDescent="0.25">
      <c r="A16" t="s">
        <v>40</v>
      </c>
      <c r="B16" t="s">
        <v>10</v>
      </c>
      <c r="C16" t="s">
        <v>41</v>
      </c>
      <c r="D16" t="s">
        <v>26</v>
      </c>
      <c r="E16" t="s">
        <v>18</v>
      </c>
      <c r="F16">
        <v>39</v>
      </c>
      <c r="G16">
        <v>59335.72</v>
      </c>
      <c r="H16">
        <v>28</v>
      </c>
      <c r="I16">
        <v>80</v>
      </c>
      <c r="J16" t="str">
        <f>IF(hospital_patient_treatment_dataset[[#This Row],[Treatment Cost]]&gt;75000,"High Cost","Low Cost")</f>
        <v>Low Cost</v>
      </c>
      <c r="K1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7" spans="1:11" x14ac:dyDescent="0.25">
      <c r="A17" t="s">
        <v>42</v>
      </c>
      <c r="B17" t="s">
        <v>22</v>
      </c>
      <c r="C17" t="s">
        <v>16</v>
      </c>
      <c r="D17" t="s">
        <v>12</v>
      </c>
      <c r="E17" t="s">
        <v>18</v>
      </c>
      <c r="F17">
        <v>85</v>
      </c>
      <c r="G17">
        <v>101936.34</v>
      </c>
      <c r="H17">
        <v>27</v>
      </c>
      <c r="I17">
        <v>99</v>
      </c>
      <c r="J17" t="str">
        <f>IF(hospital_patient_treatment_dataset[[#This Row],[Treatment Cost]]&gt;75000,"High Cost","Low Cost")</f>
        <v>High Cost</v>
      </c>
      <c r="K1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18" spans="1:11" x14ac:dyDescent="0.25">
      <c r="A18" t="s">
        <v>43</v>
      </c>
      <c r="B18" t="s">
        <v>22</v>
      </c>
      <c r="C18" t="s">
        <v>41</v>
      </c>
      <c r="D18" t="s">
        <v>12</v>
      </c>
      <c r="E18" t="s">
        <v>18</v>
      </c>
      <c r="F18">
        <v>52</v>
      </c>
      <c r="G18">
        <v>107481.12</v>
      </c>
      <c r="H18">
        <v>8</v>
      </c>
      <c r="I18">
        <v>93</v>
      </c>
      <c r="J18" t="str">
        <f>IF(hospital_patient_treatment_dataset[[#This Row],[Treatment Cost]]&gt;75000,"High Cost","Low Cost")</f>
        <v>High Cost</v>
      </c>
      <c r="K1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9" spans="1:11" x14ac:dyDescent="0.25">
      <c r="A19" t="s">
        <v>44</v>
      </c>
      <c r="B19" t="s">
        <v>36</v>
      </c>
      <c r="C19" t="s">
        <v>11</v>
      </c>
      <c r="D19" t="s">
        <v>23</v>
      </c>
      <c r="E19" t="s">
        <v>18</v>
      </c>
      <c r="F19">
        <v>25</v>
      </c>
      <c r="G19">
        <v>142574.53</v>
      </c>
      <c r="H19">
        <v>30</v>
      </c>
      <c r="I19">
        <v>99</v>
      </c>
      <c r="J19" t="str">
        <f>IF(hospital_patient_treatment_dataset[[#This Row],[Treatment Cost]]&gt;75000,"High Cost","Low Cost")</f>
        <v>High Cost</v>
      </c>
      <c r="K1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20" spans="1:11" x14ac:dyDescent="0.25">
      <c r="A20" t="s">
        <v>45</v>
      </c>
      <c r="B20" t="s">
        <v>15</v>
      </c>
      <c r="C20" t="s">
        <v>41</v>
      </c>
      <c r="D20" t="s">
        <v>23</v>
      </c>
      <c r="E20" t="s">
        <v>18</v>
      </c>
      <c r="F20">
        <v>1</v>
      </c>
      <c r="G20">
        <v>43174.44</v>
      </c>
      <c r="H20">
        <v>24</v>
      </c>
      <c r="I20">
        <v>100</v>
      </c>
      <c r="J20" t="str">
        <f>IF(hospital_patient_treatment_dataset[[#This Row],[Treatment Cost]]&gt;75000,"High Cost","Low Cost")</f>
        <v>Low Cost</v>
      </c>
      <c r="K2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21" spans="1:11" x14ac:dyDescent="0.25">
      <c r="A21" t="s">
        <v>46</v>
      </c>
      <c r="B21" t="s">
        <v>31</v>
      </c>
      <c r="C21" t="s">
        <v>16</v>
      </c>
      <c r="D21" t="s">
        <v>12</v>
      </c>
      <c r="E21" t="s">
        <v>13</v>
      </c>
      <c r="F21">
        <v>3</v>
      </c>
      <c r="G21">
        <v>125171.58</v>
      </c>
      <c r="H21">
        <v>30</v>
      </c>
      <c r="I21">
        <v>89</v>
      </c>
      <c r="J21" t="str">
        <f>IF(hospital_patient_treatment_dataset[[#This Row],[Treatment Cost]]&gt;75000,"High Cost","Low Cost")</f>
        <v>High Cost</v>
      </c>
      <c r="K2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22" spans="1:11" x14ac:dyDescent="0.25">
      <c r="A22" t="s">
        <v>47</v>
      </c>
      <c r="B22" t="s">
        <v>15</v>
      </c>
      <c r="C22" t="s">
        <v>11</v>
      </c>
      <c r="D22" t="s">
        <v>26</v>
      </c>
      <c r="E22" t="s">
        <v>18</v>
      </c>
      <c r="F22">
        <v>31</v>
      </c>
      <c r="G22">
        <v>51842.34</v>
      </c>
      <c r="H22">
        <v>15</v>
      </c>
      <c r="I22">
        <v>74</v>
      </c>
      <c r="J22" t="str">
        <f>IF(hospital_patient_treatment_dataset[[#This Row],[Treatment Cost]]&gt;75000,"High Cost","Low Cost")</f>
        <v>Low Cost</v>
      </c>
      <c r="K2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23" spans="1:11" x14ac:dyDescent="0.25">
      <c r="A23" t="s">
        <v>48</v>
      </c>
      <c r="B23" t="s">
        <v>36</v>
      </c>
      <c r="C23" t="s">
        <v>11</v>
      </c>
      <c r="D23" t="s">
        <v>26</v>
      </c>
      <c r="E23" t="s">
        <v>18</v>
      </c>
      <c r="F23">
        <v>66</v>
      </c>
      <c r="G23">
        <v>30547.73</v>
      </c>
      <c r="H23">
        <v>11</v>
      </c>
      <c r="I23">
        <v>47</v>
      </c>
      <c r="J23" t="str">
        <f>IF(hospital_patient_treatment_dataset[[#This Row],[Treatment Cost]]&gt;75000,"High Cost","Low Cost")</f>
        <v>Low Cost</v>
      </c>
      <c r="K2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24" spans="1:11" x14ac:dyDescent="0.25">
      <c r="A24" t="s">
        <v>49</v>
      </c>
      <c r="B24" t="s">
        <v>22</v>
      </c>
      <c r="C24" t="s">
        <v>11</v>
      </c>
      <c r="D24" t="s">
        <v>32</v>
      </c>
      <c r="E24" t="s">
        <v>18</v>
      </c>
      <c r="F24">
        <v>68</v>
      </c>
      <c r="G24">
        <v>68961.679999999993</v>
      </c>
      <c r="H24">
        <v>5</v>
      </c>
      <c r="I24">
        <v>67</v>
      </c>
      <c r="J24" t="str">
        <f>IF(hospital_patient_treatment_dataset[[#This Row],[Treatment Cost]]&gt;75000,"High Cost","Low Cost")</f>
        <v>Low Cost</v>
      </c>
      <c r="K2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25" spans="1:11" x14ac:dyDescent="0.25">
      <c r="A25" t="s">
        <v>50</v>
      </c>
      <c r="B25" t="s">
        <v>36</v>
      </c>
      <c r="C25" t="s">
        <v>11</v>
      </c>
      <c r="D25" t="s">
        <v>32</v>
      </c>
      <c r="E25" t="s">
        <v>29</v>
      </c>
      <c r="F25">
        <v>75</v>
      </c>
      <c r="G25">
        <v>89887.05</v>
      </c>
      <c r="H25">
        <v>28</v>
      </c>
      <c r="I25">
        <v>92</v>
      </c>
      <c r="J25" t="str">
        <f>IF(hospital_patient_treatment_dataset[[#This Row],[Treatment Cost]]&gt;75000,"High Cost","Low Cost")</f>
        <v>High Cost</v>
      </c>
      <c r="K2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26" spans="1:11" x14ac:dyDescent="0.25">
      <c r="A26" t="s">
        <v>51</v>
      </c>
      <c r="B26" t="s">
        <v>15</v>
      </c>
      <c r="C26" t="s">
        <v>16</v>
      </c>
      <c r="D26" t="s">
        <v>12</v>
      </c>
      <c r="E26" t="s">
        <v>18</v>
      </c>
      <c r="F26">
        <v>35</v>
      </c>
      <c r="G26">
        <v>54350.5</v>
      </c>
      <c r="H26">
        <v>24</v>
      </c>
      <c r="I26">
        <v>70</v>
      </c>
      <c r="J26" t="str">
        <f>IF(hospital_patient_treatment_dataset[[#This Row],[Treatment Cost]]&gt;75000,"High Cost","Low Cost")</f>
        <v>Low Cost</v>
      </c>
      <c r="K2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27" spans="1:11" x14ac:dyDescent="0.25">
      <c r="A27" t="s">
        <v>52</v>
      </c>
      <c r="B27" t="s">
        <v>31</v>
      </c>
      <c r="C27" t="s">
        <v>11</v>
      </c>
      <c r="D27" t="s">
        <v>23</v>
      </c>
      <c r="E27" t="s">
        <v>18</v>
      </c>
      <c r="F27">
        <v>56</v>
      </c>
      <c r="G27">
        <v>47635.12</v>
      </c>
      <c r="H27">
        <v>3</v>
      </c>
      <c r="I27">
        <v>47</v>
      </c>
      <c r="J27" t="str">
        <f>IF(hospital_patient_treatment_dataset[[#This Row],[Treatment Cost]]&gt;75000,"High Cost","Low Cost")</f>
        <v>Low Cost</v>
      </c>
      <c r="K2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28" spans="1:11" x14ac:dyDescent="0.25">
      <c r="A28" t="s">
        <v>53</v>
      </c>
      <c r="B28" t="s">
        <v>22</v>
      </c>
      <c r="C28" t="s">
        <v>41</v>
      </c>
      <c r="D28" t="s">
        <v>23</v>
      </c>
      <c r="E28" t="s">
        <v>29</v>
      </c>
      <c r="F28">
        <v>34</v>
      </c>
      <c r="G28">
        <v>136077.99</v>
      </c>
      <c r="H28">
        <v>25</v>
      </c>
      <c r="I28">
        <v>58</v>
      </c>
      <c r="J28" t="str">
        <f>IF(hospital_patient_treatment_dataset[[#This Row],[Treatment Cost]]&gt;75000,"High Cost","Low Cost")</f>
        <v>High Cost</v>
      </c>
      <c r="K2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29" spans="1:11" x14ac:dyDescent="0.25">
      <c r="A29" t="s">
        <v>54</v>
      </c>
      <c r="B29" t="s">
        <v>25</v>
      </c>
      <c r="C29" t="s">
        <v>11</v>
      </c>
      <c r="D29" t="s">
        <v>23</v>
      </c>
      <c r="E29" t="s">
        <v>18</v>
      </c>
      <c r="F29">
        <v>31</v>
      </c>
      <c r="G29">
        <v>103276.56</v>
      </c>
      <c r="H29">
        <v>30</v>
      </c>
      <c r="I29">
        <v>84</v>
      </c>
      <c r="J29" t="str">
        <f>IF(hospital_patient_treatment_dataset[[#This Row],[Treatment Cost]]&gt;75000,"High Cost","Low Cost")</f>
        <v>High Cost</v>
      </c>
      <c r="K2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30" spans="1:11" x14ac:dyDescent="0.25">
      <c r="A30" t="s">
        <v>55</v>
      </c>
      <c r="B30" t="s">
        <v>10</v>
      </c>
      <c r="C30" t="s">
        <v>41</v>
      </c>
      <c r="D30" t="s">
        <v>26</v>
      </c>
      <c r="E30" t="s">
        <v>18</v>
      </c>
      <c r="F30">
        <v>25</v>
      </c>
      <c r="G30">
        <v>38676.85</v>
      </c>
      <c r="H30">
        <v>9</v>
      </c>
      <c r="I30">
        <v>70</v>
      </c>
      <c r="J30" t="str">
        <f>IF(hospital_patient_treatment_dataset[[#This Row],[Treatment Cost]]&gt;75000,"High Cost","Low Cost")</f>
        <v>Low Cost</v>
      </c>
      <c r="K3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31" spans="1:11" x14ac:dyDescent="0.25">
      <c r="A31" t="s">
        <v>56</v>
      </c>
      <c r="B31" t="s">
        <v>10</v>
      </c>
      <c r="C31" t="s">
        <v>41</v>
      </c>
      <c r="D31" t="s">
        <v>32</v>
      </c>
      <c r="E31" t="s">
        <v>29</v>
      </c>
      <c r="F31">
        <v>86</v>
      </c>
      <c r="G31">
        <v>35788.22</v>
      </c>
      <c r="H31">
        <v>3</v>
      </c>
      <c r="I31">
        <v>66</v>
      </c>
      <c r="J31" t="str">
        <f>IF(hospital_patient_treatment_dataset[[#This Row],[Treatment Cost]]&gt;75000,"High Cost","Low Cost")</f>
        <v>Low Cost</v>
      </c>
      <c r="K3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32" spans="1:11" x14ac:dyDescent="0.25">
      <c r="A32" t="s">
        <v>57</v>
      </c>
      <c r="B32" t="s">
        <v>36</v>
      </c>
      <c r="C32" t="s">
        <v>16</v>
      </c>
      <c r="D32" t="s">
        <v>12</v>
      </c>
      <c r="E32" t="s">
        <v>18</v>
      </c>
      <c r="F32">
        <v>79</v>
      </c>
      <c r="G32">
        <v>140415.63</v>
      </c>
      <c r="H32">
        <v>16</v>
      </c>
      <c r="I32">
        <v>67</v>
      </c>
      <c r="J32" t="str">
        <f>IF(hospital_patient_treatment_dataset[[#This Row],[Treatment Cost]]&gt;75000,"High Cost","Low Cost")</f>
        <v>High Cost</v>
      </c>
      <c r="K3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33" spans="1:11" x14ac:dyDescent="0.25">
      <c r="A33" t="s">
        <v>58</v>
      </c>
      <c r="B33" t="s">
        <v>22</v>
      </c>
      <c r="C33" t="s">
        <v>41</v>
      </c>
      <c r="D33" t="s">
        <v>26</v>
      </c>
      <c r="E33" t="s">
        <v>18</v>
      </c>
      <c r="F33">
        <v>51</v>
      </c>
      <c r="G33">
        <v>143365.82999999999</v>
      </c>
      <c r="H33">
        <v>1</v>
      </c>
      <c r="I33">
        <v>58</v>
      </c>
      <c r="J33" t="str">
        <f>IF(hospital_patient_treatment_dataset[[#This Row],[Treatment Cost]]&gt;75000,"High Cost","Low Cost")</f>
        <v>High Cost</v>
      </c>
      <c r="K3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34" spans="1:11" x14ac:dyDescent="0.25">
      <c r="A34" t="s">
        <v>59</v>
      </c>
      <c r="B34" t="s">
        <v>10</v>
      </c>
      <c r="C34" t="s">
        <v>16</v>
      </c>
      <c r="D34" t="s">
        <v>17</v>
      </c>
      <c r="E34" t="s">
        <v>18</v>
      </c>
      <c r="F34">
        <v>1</v>
      </c>
      <c r="G34">
        <v>101058.07</v>
      </c>
      <c r="H34">
        <v>4</v>
      </c>
      <c r="I34">
        <v>81</v>
      </c>
      <c r="J34" t="str">
        <f>IF(hospital_patient_treatment_dataset[[#This Row],[Treatment Cost]]&gt;75000,"High Cost","Low Cost")</f>
        <v>High Cost</v>
      </c>
      <c r="K3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35" spans="1:11" x14ac:dyDescent="0.25">
      <c r="A35" t="s">
        <v>60</v>
      </c>
      <c r="B35" t="s">
        <v>22</v>
      </c>
      <c r="C35" t="s">
        <v>11</v>
      </c>
      <c r="D35" t="s">
        <v>12</v>
      </c>
      <c r="E35" t="s">
        <v>29</v>
      </c>
      <c r="F35">
        <v>58</v>
      </c>
      <c r="G35">
        <v>41426.04</v>
      </c>
      <c r="H35">
        <v>6</v>
      </c>
      <c r="I35">
        <v>67</v>
      </c>
      <c r="J35" t="str">
        <f>IF(hospital_patient_treatment_dataset[[#This Row],[Treatment Cost]]&gt;75000,"High Cost","Low Cost")</f>
        <v>Low Cost</v>
      </c>
      <c r="K3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36" spans="1:11" x14ac:dyDescent="0.25">
      <c r="A36" t="s">
        <v>61</v>
      </c>
      <c r="B36" t="s">
        <v>22</v>
      </c>
      <c r="C36" t="s">
        <v>28</v>
      </c>
      <c r="D36" t="s">
        <v>17</v>
      </c>
      <c r="E36" t="s">
        <v>13</v>
      </c>
      <c r="F36">
        <v>15</v>
      </c>
      <c r="G36">
        <v>131454.59</v>
      </c>
      <c r="H36">
        <v>30</v>
      </c>
      <c r="I36">
        <v>83</v>
      </c>
      <c r="J36" t="str">
        <f>IF(hospital_patient_treatment_dataset[[#This Row],[Treatment Cost]]&gt;75000,"High Cost","Low Cost")</f>
        <v>High Cost</v>
      </c>
      <c r="K3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37" spans="1:11" x14ac:dyDescent="0.25">
      <c r="A37" t="s">
        <v>62</v>
      </c>
      <c r="B37" t="s">
        <v>10</v>
      </c>
      <c r="C37" t="s">
        <v>16</v>
      </c>
      <c r="D37" t="s">
        <v>32</v>
      </c>
      <c r="E37" t="s">
        <v>13</v>
      </c>
      <c r="F37">
        <v>5</v>
      </c>
      <c r="G37">
        <v>48581.36</v>
      </c>
      <c r="H37">
        <v>16</v>
      </c>
      <c r="I37">
        <v>40</v>
      </c>
      <c r="J37" t="str">
        <f>IF(hospital_patient_treatment_dataset[[#This Row],[Treatment Cost]]&gt;75000,"High Cost","Low Cost")</f>
        <v>Low Cost</v>
      </c>
      <c r="K3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38" spans="1:11" x14ac:dyDescent="0.25">
      <c r="A38" t="s">
        <v>63</v>
      </c>
      <c r="B38" t="s">
        <v>15</v>
      </c>
      <c r="C38" t="s">
        <v>11</v>
      </c>
      <c r="D38" t="s">
        <v>17</v>
      </c>
      <c r="E38" t="s">
        <v>13</v>
      </c>
      <c r="F38">
        <v>41</v>
      </c>
      <c r="G38">
        <v>143381.07</v>
      </c>
      <c r="H38">
        <v>1</v>
      </c>
      <c r="I38">
        <v>87</v>
      </c>
      <c r="J38" t="str">
        <f>IF(hospital_patient_treatment_dataset[[#This Row],[Treatment Cost]]&gt;75000,"High Cost","Low Cost")</f>
        <v>High Cost</v>
      </c>
      <c r="K3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39" spans="1:11" x14ac:dyDescent="0.25">
      <c r="A39" t="s">
        <v>64</v>
      </c>
      <c r="B39" t="s">
        <v>15</v>
      </c>
      <c r="C39" t="s">
        <v>11</v>
      </c>
      <c r="D39" t="s">
        <v>17</v>
      </c>
      <c r="E39" t="s">
        <v>18</v>
      </c>
      <c r="F39">
        <v>3</v>
      </c>
      <c r="G39">
        <v>50045.440000000002</v>
      </c>
      <c r="H39">
        <v>15</v>
      </c>
      <c r="I39">
        <v>84</v>
      </c>
      <c r="J39" t="str">
        <f>IF(hospital_patient_treatment_dataset[[#This Row],[Treatment Cost]]&gt;75000,"High Cost","Low Cost")</f>
        <v>Low Cost</v>
      </c>
      <c r="K3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40" spans="1:11" x14ac:dyDescent="0.25">
      <c r="A40" t="s">
        <v>65</v>
      </c>
      <c r="B40" t="s">
        <v>22</v>
      </c>
      <c r="C40" t="s">
        <v>11</v>
      </c>
      <c r="D40" t="s">
        <v>17</v>
      </c>
      <c r="E40" t="s">
        <v>29</v>
      </c>
      <c r="F40">
        <v>58</v>
      </c>
      <c r="G40">
        <v>86479.95</v>
      </c>
      <c r="H40">
        <v>1</v>
      </c>
      <c r="I40">
        <v>75</v>
      </c>
      <c r="J40" t="str">
        <f>IF(hospital_patient_treatment_dataset[[#This Row],[Treatment Cost]]&gt;75000,"High Cost","Low Cost")</f>
        <v>High Cost</v>
      </c>
      <c r="K4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41" spans="1:11" x14ac:dyDescent="0.25">
      <c r="A41" t="s">
        <v>66</v>
      </c>
      <c r="B41" t="s">
        <v>15</v>
      </c>
      <c r="C41" t="s">
        <v>41</v>
      </c>
      <c r="D41" t="s">
        <v>23</v>
      </c>
      <c r="E41" t="s">
        <v>18</v>
      </c>
      <c r="F41">
        <v>14</v>
      </c>
      <c r="G41">
        <v>9067.3799999999992</v>
      </c>
      <c r="H41">
        <v>28</v>
      </c>
      <c r="I41">
        <v>86</v>
      </c>
      <c r="J41" t="str">
        <f>IF(hospital_patient_treatment_dataset[[#This Row],[Treatment Cost]]&gt;75000,"High Cost","Low Cost")</f>
        <v>Low Cost</v>
      </c>
      <c r="K4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42" spans="1:11" x14ac:dyDescent="0.25">
      <c r="A42" t="s">
        <v>67</v>
      </c>
      <c r="B42" t="s">
        <v>15</v>
      </c>
      <c r="C42" t="s">
        <v>28</v>
      </c>
      <c r="D42" t="s">
        <v>23</v>
      </c>
      <c r="E42" t="s">
        <v>18</v>
      </c>
      <c r="F42">
        <v>31</v>
      </c>
      <c r="G42">
        <v>113414.83</v>
      </c>
      <c r="H42">
        <v>8</v>
      </c>
      <c r="I42">
        <v>70</v>
      </c>
      <c r="J42" t="str">
        <f>IF(hospital_patient_treatment_dataset[[#This Row],[Treatment Cost]]&gt;75000,"High Cost","Low Cost")</f>
        <v>High Cost</v>
      </c>
      <c r="K4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43" spans="1:11" x14ac:dyDescent="0.25">
      <c r="A43" t="s">
        <v>68</v>
      </c>
      <c r="B43" t="s">
        <v>31</v>
      </c>
      <c r="C43" t="s">
        <v>16</v>
      </c>
      <c r="D43" t="s">
        <v>12</v>
      </c>
      <c r="E43" t="s">
        <v>18</v>
      </c>
      <c r="F43">
        <v>85</v>
      </c>
      <c r="G43">
        <v>78946.19</v>
      </c>
      <c r="H43">
        <v>3</v>
      </c>
      <c r="I43">
        <v>48</v>
      </c>
      <c r="J43" t="str">
        <f>IF(hospital_patient_treatment_dataset[[#This Row],[Treatment Cost]]&gt;75000,"High Cost","Low Cost")</f>
        <v>High Cost</v>
      </c>
      <c r="K4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44" spans="1:11" x14ac:dyDescent="0.25">
      <c r="A44" t="s">
        <v>69</v>
      </c>
      <c r="B44" t="s">
        <v>10</v>
      </c>
      <c r="C44" t="s">
        <v>11</v>
      </c>
      <c r="D44" t="s">
        <v>26</v>
      </c>
      <c r="E44" t="s">
        <v>18</v>
      </c>
      <c r="F44">
        <v>22</v>
      </c>
      <c r="G44">
        <v>100035.91</v>
      </c>
      <c r="H44">
        <v>29</v>
      </c>
      <c r="I44">
        <v>70</v>
      </c>
      <c r="J44" t="str">
        <f>IF(hospital_patient_treatment_dataset[[#This Row],[Treatment Cost]]&gt;75000,"High Cost","Low Cost")</f>
        <v>High Cost</v>
      </c>
      <c r="K4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45" spans="1:11" x14ac:dyDescent="0.25">
      <c r="A45" t="s">
        <v>70</v>
      </c>
      <c r="B45" t="s">
        <v>15</v>
      </c>
      <c r="C45" t="s">
        <v>28</v>
      </c>
      <c r="D45" t="s">
        <v>23</v>
      </c>
      <c r="E45" t="s">
        <v>18</v>
      </c>
      <c r="F45">
        <v>62</v>
      </c>
      <c r="G45">
        <v>149340.16</v>
      </c>
      <c r="H45">
        <v>18</v>
      </c>
      <c r="I45">
        <v>49</v>
      </c>
      <c r="J45" t="str">
        <f>IF(hospital_patient_treatment_dataset[[#This Row],[Treatment Cost]]&gt;75000,"High Cost","Low Cost")</f>
        <v>High Cost</v>
      </c>
      <c r="K4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46" spans="1:11" x14ac:dyDescent="0.25">
      <c r="A46" t="s">
        <v>71</v>
      </c>
      <c r="B46" t="s">
        <v>10</v>
      </c>
      <c r="C46" t="s">
        <v>11</v>
      </c>
      <c r="D46" t="s">
        <v>12</v>
      </c>
      <c r="E46" t="s">
        <v>13</v>
      </c>
      <c r="F46">
        <v>79</v>
      </c>
      <c r="G46">
        <v>105328.19</v>
      </c>
      <c r="H46">
        <v>26</v>
      </c>
      <c r="I46">
        <v>94</v>
      </c>
      <c r="J46" t="str">
        <f>IF(hospital_patient_treatment_dataset[[#This Row],[Treatment Cost]]&gt;75000,"High Cost","Low Cost")</f>
        <v>High Cost</v>
      </c>
      <c r="K4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47" spans="1:11" x14ac:dyDescent="0.25">
      <c r="A47" t="s">
        <v>72</v>
      </c>
      <c r="B47" t="s">
        <v>10</v>
      </c>
      <c r="C47" t="s">
        <v>28</v>
      </c>
      <c r="D47" t="s">
        <v>12</v>
      </c>
      <c r="E47" t="s">
        <v>29</v>
      </c>
      <c r="F47">
        <v>19</v>
      </c>
      <c r="G47">
        <v>21826.12</v>
      </c>
      <c r="H47">
        <v>17</v>
      </c>
      <c r="I47">
        <v>48</v>
      </c>
      <c r="J47" t="str">
        <f>IF(hospital_patient_treatment_dataset[[#This Row],[Treatment Cost]]&gt;75000,"High Cost","Low Cost")</f>
        <v>Low Cost</v>
      </c>
      <c r="K4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48" spans="1:11" x14ac:dyDescent="0.25">
      <c r="A48" t="s">
        <v>73</v>
      </c>
      <c r="B48" t="s">
        <v>36</v>
      </c>
      <c r="C48" t="s">
        <v>11</v>
      </c>
      <c r="D48" t="s">
        <v>32</v>
      </c>
      <c r="E48" t="s">
        <v>18</v>
      </c>
      <c r="F48">
        <v>37</v>
      </c>
      <c r="G48">
        <v>77556.53</v>
      </c>
      <c r="H48">
        <v>24</v>
      </c>
      <c r="I48">
        <v>87</v>
      </c>
      <c r="J48" t="str">
        <f>IF(hospital_patient_treatment_dataset[[#This Row],[Treatment Cost]]&gt;75000,"High Cost","Low Cost")</f>
        <v>High Cost</v>
      </c>
      <c r="K4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49" spans="1:11" x14ac:dyDescent="0.25">
      <c r="A49" t="s">
        <v>74</v>
      </c>
      <c r="B49" t="s">
        <v>36</v>
      </c>
      <c r="C49" t="s">
        <v>28</v>
      </c>
      <c r="D49" t="s">
        <v>26</v>
      </c>
      <c r="E49" t="s">
        <v>18</v>
      </c>
      <c r="F49">
        <v>30</v>
      </c>
      <c r="G49">
        <v>53806.86</v>
      </c>
      <c r="H49">
        <v>21</v>
      </c>
      <c r="I49">
        <v>82</v>
      </c>
      <c r="J49" t="str">
        <f>IF(hospital_patient_treatment_dataset[[#This Row],[Treatment Cost]]&gt;75000,"High Cost","Low Cost")</f>
        <v>Low Cost</v>
      </c>
      <c r="K4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50" spans="1:11" x14ac:dyDescent="0.25">
      <c r="A50" t="s">
        <v>75</v>
      </c>
      <c r="B50" t="s">
        <v>15</v>
      </c>
      <c r="C50" t="s">
        <v>41</v>
      </c>
      <c r="D50" t="s">
        <v>12</v>
      </c>
      <c r="E50" t="s">
        <v>18</v>
      </c>
      <c r="F50">
        <v>66</v>
      </c>
      <c r="G50">
        <v>84096.91</v>
      </c>
      <c r="H50">
        <v>18</v>
      </c>
      <c r="I50">
        <v>91</v>
      </c>
      <c r="J50" t="str">
        <f>IF(hospital_patient_treatment_dataset[[#This Row],[Treatment Cost]]&gt;75000,"High Cost","Low Cost")</f>
        <v>High Cost</v>
      </c>
      <c r="K5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51" spans="1:11" x14ac:dyDescent="0.25">
      <c r="A51" t="s">
        <v>76</v>
      </c>
      <c r="B51" t="s">
        <v>10</v>
      </c>
      <c r="C51" t="s">
        <v>28</v>
      </c>
      <c r="D51" t="s">
        <v>12</v>
      </c>
      <c r="E51" t="s">
        <v>18</v>
      </c>
      <c r="F51">
        <v>22</v>
      </c>
      <c r="G51">
        <v>46384.67</v>
      </c>
      <c r="H51">
        <v>3</v>
      </c>
      <c r="I51">
        <v>84</v>
      </c>
      <c r="J51" t="str">
        <f>IF(hospital_patient_treatment_dataset[[#This Row],[Treatment Cost]]&gt;75000,"High Cost","Low Cost")</f>
        <v>Low Cost</v>
      </c>
      <c r="K5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52" spans="1:11" x14ac:dyDescent="0.25">
      <c r="A52" t="s">
        <v>77</v>
      </c>
      <c r="B52" t="s">
        <v>10</v>
      </c>
      <c r="C52" t="s">
        <v>28</v>
      </c>
      <c r="D52" t="s">
        <v>17</v>
      </c>
      <c r="E52" t="s">
        <v>18</v>
      </c>
      <c r="F52">
        <v>60</v>
      </c>
      <c r="G52">
        <v>122442.43</v>
      </c>
      <c r="H52">
        <v>6</v>
      </c>
      <c r="I52">
        <v>94</v>
      </c>
      <c r="J52" t="str">
        <f>IF(hospital_patient_treatment_dataset[[#This Row],[Treatment Cost]]&gt;75000,"High Cost","Low Cost")</f>
        <v>High Cost</v>
      </c>
      <c r="K5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53" spans="1:11" x14ac:dyDescent="0.25">
      <c r="A53" t="s">
        <v>78</v>
      </c>
      <c r="B53" t="s">
        <v>31</v>
      </c>
      <c r="C53" t="s">
        <v>16</v>
      </c>
      <c r="D53" t="s">
        <v>12</v>
      </c>
      <c r="E53" t="s">
        <v>29</v>
      </c>
      <c r="F53">
        <v>35</v>
      </c>
      <c r="G53">
        <v>73863.679999999993</v>
      </c>
      <c r="H53">
        <v>17</v>
      </c>
      <c r="I53">
        <v>42</v>
      </c>
      <c r="J53" t="str">
        <f>IF(hospital_patient_treatment_dataset[[#This Row],[Treatment Cost]]&gt;75000,"High Cost","Low Cost")</f>
        <v>Low Cost</v>
      </c>
      <c r="K5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54" spans="1:11" x14ac:dyDescent="0.25">
      <c r="A54" t="s">
        <v>79</v>
      </c>
      <c r="B54" t="s">
        <v>22</v>
      </c>
      <c r="C54" t="s">
        <v>11</v>
      </c>
      <c r="D54" t="s">
        <v>23</v>
      </c>
      <c r="E54" t="s">
        <v>13</v>
      </c>
      <c r="F54">
        <v>21</v>
      </c>
      <c r="G54">
        <v>75334.19</v>
      </c>
      <c r="H54">
        <v>23</v>
      </c>
      <c r="I54">
        <v>51</v>
      </c>
      <c r="J54" t="str">
        <f>IF(hospital_patient_treatment_dataset[[#This Row],[Treatment Cost]]&gt;75000,"High Cost","Low Cost")</f>
        <v>High Cost</v>
      </c>
      <c r="K5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55" spans="1:11" x14ac:dyDescent="0.25">
      <c r="A55" t="s">
        <v>80</v>
      </c>
      <c r="B55" t="s">
        <v>31</v>
      </c>
      <c r="C55" t="s">
        <v>28</v>
      </c>
      <c r="D55" t="s">
        <v>17</v>
      </c>
      <c r="E55" t="s">
        <v>29</v>
      </c>
      <c r="F55">
        <v>51</v>
      </c>
      <c r="G55">
        <v>59829.99</v>
      </c>
      <c r="H55">
        <v>2</v>
      </c>
      <c r="I55">
        <v>40</v>
      </c>
      <c r="J55" t="str">
        <f>IF(hospital_patient_treatment_dataset[[#This Row],[Treatment Cost]]&gt;75000,"High Cost","Low Cost")</f>
        <v>Low Cost</v>
      </c>
      <c r="K5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56" spans="1:11" x14ac:dyDescent="0.25">
      <c r="A56" t="s">
        <v>81</v>
      </c>
      <c r="B56" t="s">
        <v>31</v>
      </c>
      <c r="C56" t="s">
        <v>28</v>
      </c>
      <c r="D56" t="s">
        <v>32</v>
      </c>
      <c r="E56" t="s">
        <v>13</v>
      </c>
      <c r="F56">
        <v>87</v>
      </c>
      <c r="G56">
        <v>5444.8</v>
      </c>
      <c r="H56">
        <v>5</v>
      </c>
      <c r="I56">
        <v>42</v>
      </c>
      <c r="J56" t="str">
        <f>IF(hospital_patient_treatment_dataset[[#This Row],[Treatment Cost]]&gt;75000,"High Cost","Low Cost")</f>
        <v>Low Cost</v>
      </c>
      <c r="K5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57" spans="1:11" x14ac:dyDescent="0.25">
      <c r="A57" t="s">
        <v>82</v>
      </c>
      <c r="B57" t="s">
        <v>25</v>
      </c>
      <c r="C57" t="s">
        <v>11</v>
      </c>
      <c r="D57" t="s">
        <v>17</v>
      </c>
      <c r="E57" t="s">
        <v>18</v>
      </c>
      <c r="F57">
        <v>11</v>
      </c>
      <c r="G57">
        <v>39022.85</v>
      </c>
      <c r="H57">
        <v>8</v>
      </c>
      <c r="I57">
        <v>96</v>
      </c>
      <c r="J57" t="str">
        <f>IF(hospital_patient_treatment_dataset[[#This Row],[Treatment Cost]]&gt;75000,"High Cost","Low Cost")</f>
        <v>Low Cost</v>
      </c>
      <c r="K5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58" spans="1:11" x14ac:dyDescent="0.25">
      <c r="A58" t="s">
        <v>83</v>
      </c>
      <c r="B58" t="s">
        <v>15</v>
      </c>
      <c r="C58" t="s">
        <v>11</v>
      </c>
      <c r="D58" t="s">
        <v>12</v>
      </c>
      <c r="E58" t="s">
        <v>18</v>
      </c>
      <c r="F58">
        <v>7</v>
      </c>
      <c r="G58">
        <v>127110.45</v>
      </c>
      <c r="H58">
        <v>30</v>
      </c>
      <c r="I58">
        <v>100</v>
      </c>
      <c r="J58" t="str">
        <f>IF(hospital_patient_treatment_dataset[[#This Row],[Treatment Cost]]&gt;75000,"High Cost","Low Cost")</f>
        <v>High Cost</v>
      </c>
      <c r="K5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59" spans="1:11" x14ac:dyDescent="0.25">
      <c r="A59" t="s">
        <v>84</v>
      </c>
      <c r="B59" t="s">
        <v>25</v>
      </c>
      <c r="C59" t="s">
        <v>16</v>
      </c>
      <c r="D59" t="s">
        <v>17</v>
      </c>
      <c r="E59" t="s">
        <v>29</v>
      </c>
      <c r="F59">
        <v>80</v>
      </c>
      <c r="G59">
        <v>120082.46</v>
      </c>
      <c r="H59">
        <v>16</v>
      </c>
      <c r="I59">
        <v>93</v>
      </c>
      <c r="J59" t="str">
        <f>IF(hospital_patient_treatment_dataset[[#This Row],[Treatment Cost]]&gt;75000,"High Cost","Low Cost")</f>
        <v>High Cost</v>
      </c>
      <c r="K5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60" spans="1:11" x14ac:dyDescent="0.25">
      <c r="A60" t="s">
        <v>85</v>
      </c>
      <c r="B60" t="s">
        <v>15</v>
      </c>
      <c r="C60" t="s">
        <v>28</v>
      </c>
      <c r="D60" t="s">
        <v>17</v>
      </c>
      <c r="E60" t="s">
        <v>18</v>
      </c>
      <c r="F60">
        <v>75</v>
      </c>
      <c r="G60">
        <v>79671.37</v>
      </c>
      <c r="H60">
        <v>30</v>
      </c>
      <c r="I60">
        <v>43</v>
      </c>
      <c r="J60" t="str">
        <f>IF(hospital_patient_treatment_dataset[[#This Row],[Treatment Cost]]&gt;75000,"High Cost","Low Cost")</f>
        <v>High Cost</v>
      </c>
      <c r="K6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61" spans="1:11" x14ac:dyDescent="0.25">
      <c r="A61" t="s">
        <v>86</v>
      </c>
      <c r="B61" t="s">
        <v>10</v>
      </c>
      <c r="C61" t="s">
        <v>41</v>
      </c>
      <c r="D61" t="s">
        <v>12</v>
      </c>
      <c r="E61" t="s">
        <v>18</v>
      </c>
      <c r="F61">
        <v>7</v>
      </c>
      <c r="G61">
        <v>66277.52</v>
      </c>
      <c r="H61">
        <v>26</v>
      </c>
      <c r="I61">
        <v>69</v>
      </c>
      <c r="J61" t="str">
        <f>IF(hospital_patient_treatment_dataset[[#This Row],[Treatment Cost]]&gt;75000,"High Cost","Low Cost")</f>
        <v>Low Cost</v>
      </c>
      <c r="K6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62" spans="1:11" x14ac:dyDescent="0.25">
      <c r="A62" t="s">
        <v>87</v>
      </c>
      <c r="B62" t="s">
        <v>22</v>
      </c>
      <c r="C62" t="s">
        <v>11</v>
      </c>
      <c r="D62" t="s">
        <v>32</v>
      </c>
      <c r="E62" t="s">
        <v>13</v>
      </c>
      <c r="F62">
        <v>14</v>
      </c>
      <c r="G62">
        <v>12241.3</v>
      </c>
      <c r="H62">
        <v>20</v>
      </c>
      <c r="I62">
        <v>40</v>
      </c>
      <c r="J62" t="str">
        <f>IF(hospital_patient_treatment_dataset[[#This Row],[Treatment Cost]]&gt;75000,"High Cost","Low Cost")</f>
        <v>Low Cost</v>
      </c>
      <c r="K6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63" spans="1:11" x14ac:dyDescent="0.25">
      <c r="A63" t="s">
        <v>88</v>
      </c>
      <c r="B63" t="s">
        <v>36</v>
      </c>
      <c r="C63" t="s">
        <v>28</v>
      </c>
      <c r="D63" t="s">
        <v>17</v>
      </c>
      <c r="E63" t="s">
        <v>18</v>
      </c>
      <c r="F63">
        <v>22</v>
      </c>
      <c r="G63">
        <v>133882.43</v>
      </c>
      <c r="H63">
        <v>29</v>
      </c>
      <c r="I63">
        <v>63</v>
      </c>
      <c r="J63" t="str">
        <f>IF(hospital_patient_treatment_dataset[[#This Row],[Treatment Cost]]&gt;75000,"High Cost","Low Cost")</f>
        <v>High Cost</v>
      </c>
      <c r="K6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64" spans="1:11" x14ac:dyDescent="0.25">
      <c r="A64" t="s">
        <v>89</v>
      </c>
      <c r="B64" t="s">
        <v>25</v>
      </c>
      <c r="C64" t="s">
        <v>41</v>
      </c>
      <c r="D64" t="s">
        <v>12</v>
      </c>
      <c r="E64" t="s">
        <v>29</v>
      </c>
      <c r="F64">
        <v>73</v>
      </c>
      <c r="G64">
        <v>148488.95000000001</v>
      </c>
      <c r="H64">
        <v>22</v>
      </c>
      <c r="I64">
        <v>77</v>
      </c>
      <c r="J64" t="str">
        <f>IF(hospital_patient_treatment_dataset[[#This Row],[Treatment Cost]]&gt;75000,"High Cost","Low Cost")</f>
        <v>High Cost</v>
      </c>
      <c r="K6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65" spans="1:11" x14ac:dyDescent="0.25">
      <c r="A65" t="s">
        <v>90</v>
      </c>
      <c r="B65" t="s">
        <v>31</v>
      </c>
      <c r="C65" t="s">
        <v>16</v>
      </c>
      <c r="D65" t="s">
        <v>12</v>
      </c>
      <c r="E65" t="s">
        <v>29</v>
      </c>
      <c r="F65">
        <v>5</v>
      </c>
      <c r="G65">
        <v>74239.37</v>
      </c>
      <c r="H65">
        <v>7</v>
      </c>
      <c r="I65">
        <v>61</v>
      </c>
      <c r="J65" t="str">
        <f>IF(hospital_patient_treatment_dataset[[#This Row],[Treatment Cost]]&gt;75000,"High Cost","Low Cost")</f>
        <v>Low Cost</v>
      </c>
      <c r="K6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66" spans="1:11" x14ac:dyDescent="0.25">
      <c r="A66" t="s">
        <v>91</v>
      </c>
      <c r="B66" t="s">
        <v>22</v>
      </c>
      <c r="C66" t="s">
        <v>16</v>
      </c>
      <c r="D66" t="s">
        <v>32</v>
      </c>
      <c r="E66" t="s">
        <v>18</v>
      </c>
      <c r="F66">
        <v>6</v>
      </c>
      <c r="G66">
        <v>98732.94</v>
      </c>
      <c r="H66">
        <v>25</v>
      </c>
      <c r="I66">
        <v>45</v>
      </c>
      <c r="J66" t="str">
        <f>IF(hospital_patient_treatment_dataset[[#This Row],[Treatment Cost]]&gt;75000,"High Cost","Low Cost")</f>
        <v>High Cost</v>
      </c>
      <c r="K6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67" spans="1:11" x14ac:dyDescent="0.25">
      <c r="A67" t="s">
        <v>92</v>
      </c>
      <c r="B67" t="s">
        <v>10</v>
      </c>
      <c r="C67" t="s">
        <v>11</v>
      </c>
      <c r="D67" t="s">
        <v>23</v>
      </c>
      <c r="E67" t="s">
        <v>13</v>
      </c>
      <c r="F67">
        <v>4</v>
      </c>
      <c r="G67">
        <v>66339.33</v>
      </c>
      <c r="H67">
        <v>5</v>
      </c>
      <c r="I67">
        <v>77</v>
      </c>
      <c r="J67" t="str">
        <f>IF(hospital_patient_treatment_dataset[[#This Row],[Treatment Cost]]&gt;75000,"High Cost","Low Cost")</f>
        <v>Low Cost</v>
      </c>
      <c r="K6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68" spans="1:11" x14ac:dyDescent="0.25">
      <c r="A68" t="s">
        <v>93</v>
      </c>
      <c r="B68" t="s">
        <v>10</v>
      </c>
      <c r="C68" t="s">
        <v>16</v>
      </c>
      <c r="D68" t="s">
        <v>32</v>
      </c>
      <c r="E68" t="s">
        <v>18</v>
      </c>
      <c r="F68">
        <v>14</v>
      </c>
      <c r="G68">
        <v>113363.27</v>
      </c>
      <c r="H68">
        <v>9</v>
      </c>
      <c r="I68">
        <v>74</v>
      </c>
      <c r="J68" t="str">
        <f>IF(hospital_patient_treatment_dataset[[#This Row],[Treatment Cost]]&gt;75000,"High Cost","Low Cost")</f>
        <v>High Cost</v>
      </c>
      <c r="K6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69" spans="1:11" x14ac:dyDescent="0.25">
      <c r="A69" t="s">
        <v>94</v>
      </c>
      <c r="B69" t="s">
        <v>10</v>
      </c>
      <c r="C69" t="s">
        <v>16</v>
      </c>
      <c r="D69" t="s">
        <v>32</v>
      </c>
      <c r="E69" t="s">
        <v>13</v>
      </c>
      <c r="F69">
        <v>11</v>
      </c>
      <c r="G69">
        <v>24492.09</v>
      </c>
      <c r="H69">
        <v>8</v>
      </c>
      <c r="I69">
        <v>58</v>
      </c>
      <c r="J69" t="str">
        <f>IF(hospital_patient_treatment_dataset[[#This Row],[Treatment Cost]]&gt;75000,"High Cost","Low Cost")</f>
        <v>Low Cost</v>
      </c>
      <c r="K6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70" spans="1:11" x14ac:dyDescent="0.25">
      <c r="A70" t="s">
        <v>95</v>
      </c>
      <c r="B70" t="s">
        <v>25</v>
      </c>
      <c r="C70" t="s">
        <v>16</v>
      </c>
      <c r="D70" t="s">
        <v>32</v>
      </c>
      <c r="E70" t="s">
        <v>13</v>
      </c>
      <c r="F70">
        <v>19</v>
      </c>
      <c r="G70">
        <v>42080.85</v>
      </c>
      <c r="H70">
        <v>29</v>
      </c>
      <c r="I70">
        <v>65</v>
      </c>
      <c r="J70" t="str">
        <f>IF(hospital_patient_treatment_dataset[[#This Row],[Treatment Cost]]&gt;75000,"High Cost","Low Cost")</f>
        <v>Low Cost</v>
      </c>
      <c r="K7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71" spans="1:11" x14ac:dyDescent="0.25">
      <c r="A71" t="s">
        <v>96</v>
      </c>
      <c r="B71" t="s">
        <v>31</v>
      </c>
      <c r="C71" t="s">
        <v>16</v>
      </c>
      <c r="D71" t="s">
        <v>23</v>
      </c>
      <c r="E71" t="s">
        <v>29</v>
      </c>
      <c r="F71">
        <v>56</v>
      </c>
      <c r="G71">
        <v>147658.16</v>
      </c>
      <c r="H71">
        <v>11</v>
      </c>
      <c r="I71">
        <v>96</v>
      </c>
      <c r="J71" t="str">
        <f>IF(hospital_patient_treatment_dataset[[#This Row],[Treatment Cost]]&gt;75000,"High Cost","Low Cost")</f>
        <v>High Cost</v>
      </c>
      <c r="K7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72" spans="1:11" x14ac:dyDescent="0.25">
      <c r="A72" t="s">
        <v>97</v>
      </c>
      <c r="B72" t="s">
        <v>22</v>
      </c>
      <c r="C72" t="s">
        <v>16</v>
      </c>
      <c r="D72" t="s">
        <v>12</v>
      </c>
      <c r="E72" t="s">
        <v>13</v>
      </c>
      <c r="F72">
        <v>40</v>
      </c>
      <c r="G72">
        <v>79386.600000000006</v>
      </c>
      <c r="H72">
        <v>21</v>
      </c>
      <c r="I72">
        <v>67</v>
      </c>
      <c r="J72" t="str">
        <f>IF(hospital_patient_treatment_dataset[[#This Row],[Treatment Cost]]&gt;75000,"High Cost","Low Cost")</f>
        <v>High Cost</v>
      </c>
      <c r="K7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73" spans="1:11" x14ac:dyDescent="0.25">
      <c r="A73" t="s">
        <v>98</v>
      </c>
      <c r="B73" t="s">
        <v>36</v>
      </c>
      <c r="C73" t="s">
        <v>41</v>
      </c>
      <c r="D73" t="s">
        <v>17</v>
      </c>
      <c r="E73" t="s">
        <v>18</v>
      </c>
      <c r="F73">
        <v>6</v>
      </c>
      <c r="G73">
        <v>22175.37</v>
      </c>
      <c r="H73">
        <v>17</v>
      </c>
      <c r="I73">
        <v>82</v>
      </c>
      <c r="J73" t="str">
        <f>IF(hospital_patient_treatment_dataset[[#This Row],[Treatment Cost]]&gt;75000,"High Cost","Low Cost")</f>
        <v>Low Cost</v>
      </c>
      <c r="K7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74" spans="1:11" x14ac:dyDescent="0.25">
      <c r="A74" t="s">
        <v>99</v>
      </c>
      <c r="B74" t="s">
        <v>31</v>
      </c>
      <c r="C74" t="s">
        <v>28</v>
      </c>
      <c r="D74" t="s">
        <v>12</v>
      </c>
      <c r="E74" t="s">
        <v>29</v>
      </c>
      <c r="F74">
        <v>62</v>
      </c>
      <c r="G74">
        <v>16296.15</v>
      </c>
      <c r="H74">
        <v>28</v>
      </c>
      <c r="I74">
        <v>63</v>
      </c>
      <c r="J74" t="str">
        <f>IF(hospital_patient_treatment_dataset[[#This Row],[Treatment Cost]]&gt;75000,"High Cost","Low Cost")</f>
        <v>Low Cost</v>
      </c>
      <c r="K7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75" spans="1:11" x14ac:dyDescent="0.25">
      <c r="A75" t="s">
        <v>100</v>
      </c>
      <c r="B75" t="s">
        <v>31</v>
      </c>
      <c r="C75" t="s">
        <v>41</v>
      </c>
      <c r="D75" t="s">
        <v>12</v>
      </c>
      <c r="E75" t="s">
        <v>29</v>
      </c>
      <c r="F75">
        <v>56</v>
      </c>
      <c r="G75">
        <v>120488.57</v>
      </c>
      <c r="H75">
        <v>30</v>
      </c>
      <c r="I75">
        <v>48</v>
      </c>
      <c r="J75" t="str">
        <f>IF(hospital_patient_treatment_dataset[[#This Row],[Treatment Cost]]&gt;75000,"High Cost","Low Cost")</f>
        <v>High Cost</v>
      </c>
      <c r="K7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76" spans="1:11" x14ac:dyDescent="0.25">
      <c r="A76" t="s">
        <v>101</v>
      </c>
      <c r="B76" t="s">
        <v>22</v>
      </c>
      <c r="C76" t="s">
        <v>28</v>
      </c>
      <c r="D76" t="s">
        <v>12</v>
      </c>
      <c r="E76" t="s">
        <v>13</v>
      </c>
      <c r="F76">
        <v>8</v>
      </c>
      <c r="G76">
        <v>111873.66</v>
      </c>
      <c r="H76">
        <v>16</v>
      </c>
      <c r="I76">
        <v>74</v>
      </c>
      <c r="J76" t="str">
        <f>IF(hospital_patient_treatment_dataset[[#This Row],[Treatment Cost]]&gt;75000,"High Cost","Low Cost")</f>
        <v>High Cost</v>
      </c>
      <c r="K7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77" spans="1:11" x14ac:dyDescent="0.25">
      <c r="A77" t="s">
        <v>102</v>
      </c>
      <c r="B77" t="s">
        <v>22</v>
      </c>
      <c r="C77" t="s">
        <v>16</v>
      </c>
      <c r="D77" t="s">
        <v>23</v>
      </c>
      <c r="E77" t="s">
        <v>18</v>
      </c>
      <c r="F77">
        <v>62</v>
      </c>
      <c r="G77">
        <v>27610.65</v>
      </c>
      <c r="H77">
        <v>26</v>
      </c>
      <c r="I77">
        <v>72</v>
      </c>
      <c r="J77" t="str">
        <f>IF(hospital_patient_treatment_dataset[[#This Row],[Treatment Cost]]&gt;75000,"High Cost","Low Cost")</f>
        <v>Low Cost</v>
      </c>
      <c r="K7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78" spans="1:11" x14ac:dyDescent="0.25">
      <c r="A78" t="s">
        <v>103</v>
      </c>
      <c r="B78" t="s">
        <v>22</v>
      </c>
      <c r="C78" t="s">
        <v>41</v>
      </c>
      <c r="D78" t="s">
        <v>32</v>
      </c>
      <c r="E78" t="s">
        <v>29</v>
      </c>
      <c r="F78">
        <v>17</v>
      </c>
      <c r="G78">
        <v>142458.98000000001</v>
      </c>
      <c r="H78">
        <v>6</v>
      </c>
      <c r="I78">
        <v>69</v>
      </c>
      <c r="J78" t="str">
        <f>IF(hospital_patient_treatment_dataset[[#This Row],[Treatment Cost]]&gt;75000,"High Cost","Low Cost")</f>
        <v>High Cost</v>
      </c>
      <c r="K7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79" spans="1:11" x14ac:dyDescent="0.25">
      <c r="A79" t="s">
        <v>104</v>
      </c>
      <c r="B79" t="s">
        <v>22</v>
      </c>
      <c r="C79" t="s">
        <v>11</v>
      </c>
      <c r="D79" t="s">
        <v>23</v>
      </c>
      <c r="E79" t="s">
        <v>29</v>
      </c>
      <c r="F79">
        <v>7</v>
      </c>
      <c r="G79">
        <v>23799.83</v>
      </c>
      <c r="H79">
        <v>26</v>
      </c>
      <c r="I79">
        <v>52</v>
      </c>
      <c r="J79" t="str">
        <f>IF(hospital_patient_treatment_dataset[[#This Row],[Treatment Cost]]&gt;75000,"High Cost","Low Cost")</f>
        <v>Low Cost</v>
      </c>
      <c r="K7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80" spans="1:11" x14ac:dyDescent="0.25">
      <c r="A80" t="s">
        <v>105</v>
      </c>
      <c r="B80" t="s">
        <v>36</v>
      </c>
      <c r="C80" t="s">
        <v>41</v>
      </c>
      <c r="D80" t="s">
        <v>12</v>
      </c>
      <c r="E80" t="s">
        <v>29</v>
      </c>
      <c r="F80">
        <v>49</v>
      </c>
      <c r="G80">
        <v>117019.47</v>
      </c>
      <c r="H80">
        <v>28</v>
      </c>
      <c r="I80">
        <v>63</v>
      </c>
      <c r="J80" t="str">
        <f>IF(hospital_patient_treatment_dataset[[#This Row],[Treatment Cost]]&gt;75000,"High Cost","Low Cost")</f>
        <v>High Cost</v>
      </c>
      <c r="K8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81" spans="1:11" x14ac:dyDescent="0.25">
      <c r="A81" t="s">
        <v>106</v>
      </c>
      <c r="B81" t="s">
        <v>36</v>
      </c>
      <c r="C81" t="s">
        <v>11</v>
      </c>
      <c r="D81" t="s">
        <v>32</v>
      </c>
      <c r="E81" t="s">
        <v>29</v>
      </c>
      <c r="F81">
        <v>12</v>
      </c>
      <c r="G81">
        <v>69472.05</v>
      </c>
      <c r="H81">
        <v>11</v>
      </c>
      <c r="I81">
        <v>68</v>
      </c>
      <c r="J81" t="str">
        <f>IF(hospital_patient_treatment_dataset[[#This Row],[Treatment Cost]]&gt;75000,"High Cost","Low Cost")</f>
        <v>Low Cost</v>
      </c>
      <c r="K8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82" spans="1:11" x14ac:dyDescent="0.25">
      <c r="A82" t="s">
        <v>107</v>
      </c>
      <c r="B82" t="s">
        <v>25</v>
      </c>
      <c r="C82" t="s">
        <v>11</v>
      </c>
      <c r="D82" t="s">
        <v>32</v>
      </c>
      <c r="E82" t="s">
        <v>13</v>
      </c>
      <c r="F82">
        <v>5</v>
      </c>
      <c r="G82">
        <v>64103.040000000001</v>
      </c>
      <c r="H82">
        <v>14</v>
      </c>
      <c r="I82">
        <v>42</v>
      </c>
      <c r="J82" t="str">
        <f>IF(hospital_patient_treatment_dataset[[#This Row],[Treatment Cost]]&gt;75000,"High Cost","Low Cost")</f>
        <v>Low Cost</v>
      </c>
      <c r="K8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83" spans="1:11" x14ac:dyDescent="0.25">
      <c r="A83" t="s">
        <v>108</v>
      </c>
      <c r="B83" t="s">
        <v>22</v>
      </c>
      <c r="C83" t="s">
        <v>11</v>
      </c>
      <c r="D83" t="s">
        <v>12</v>
      </c>
      <c r="E83" t="s">
        <v>29</v>
      </c>
      <c r="F83">
        <v>13</v>
      </c>
      <c r="G83">
        <v>137441.75</v>
      </c>
      <c r="H83">
        <v>23</v>
      </c>
      <c r="I83">
        <v>74</v>
      </c>
      <c r="J83" t="str">
        <f>IF(hospital_patient_treatment_dataset[[#This Row],[Treatment Cost]]&gt;75000,"High Cost","Low Cost")</f>
        <v>High Cost</v>
      </c>
      <c r="K8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84" spans="1:11" x14ac:dyDescent="0.25">
      <c r="A84" t="s">
        <v>109</v>
      </c>
      <c r="B84" t="s">
        <v>25</v>
      </c>
      <c r="C84" t="s">
        <v>11</v>
      </c>
      <c r="D84" t="s">
        <v>23</v>
      </c>
      <c r="E84" t="s">
        <v>13</v>
      </c>
      <c r="F84">
        <v>71</v>
      </c>
      <c r="G84">
        <v>11066.61</v>
      </c>
      <c r="H84">
        <v>17</v>
      </c>
      <c r="I84">
        <v>86</v>
      </c>
      <c r="J84" t="str">
        <f>IF(hospital_patient_treatment_dataset[[#This Row],[Treatment Cost]]&gt;75000,"High Cost","Low Cost")</f>
        <v>Low Cost</v>
      </c>
      <c r="K8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85" spans="1:11" x14ac:dyDescent="0.25">
      <c r="A85" t="s">
        <v>110</v>
      </c>
      <c r="B85" t="s">
        <v>31</v>
      </c>
      <c r="C85" t="s">
        <v>16</v>
      </c>
      <c r="D85" t="s">
        <v>26</v>
      </c>
      <c r="E85" t="s">
        <v>13</v>
      </c>
      <c r="F85">
        <v>87</v>
      </c>
      <c r="G85">
        <v>36726.76</v>
      </c>
      <c r="H85">
        <v>4</v>
      </c>
      <c r="I85">
        <v>53</v>
      </c>
      <c r="J85" t="str">
        <f>IF(hospital_patient_treatment_dataset[[#This Row],[Treatment Cost]]&gt;75000,"High Cost","Low Cost")</f>
        <v>Low Cost</v>
      </c>
      <c r="K8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86" spans="1:11" x14ac:dyDescent="0.25">
      <c r="A86" t="s">
        <v>111</v>
      </c>
      <c r="B86" t="s">
        <v>15</v>
      </c>
      <c r="C86" t="s">
        <v>16</v>
      </c>
      <c r="D86" t="s">
        <v>17</v>
      </c>
      <c r="E86" t="s">
        <v>29</v>
      </c>
      <c r="F86">
        <v>40</v>
      </c>
      <c r="G86">
        <v>19717.900000000001</v>
      </c>
      <c r="H86">
        <v>20</v>
      </c>
      <c r="I86">
        <v>63</v>
      </c>
      <c r="J86" t="str">
        <f>IF(hospital_patient_treatment_dataset[[#This Row],[Treatment Cost]]&gt;75000,"High Cost","Low Cost")</f>
        <v>Low Cost</v>
      </c>
      <c r="K8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87" spans="1:11" x14ac:dyDescent="0.25">
      <c r="A87" t="s">
        <v>112</v>
      </c>
      <c r="B87" t="s">
        <v>36</v>
      </c>
      <c r="C87" t="s">
        <v>16</v>
      </c>
      <c r="D87" t="s">
        <v>26</v>
      </c>
      <c r="E87" t="s">
        <v>29</v>
      </c>
      <c r="F87">
        <v>63</v>
      </c>
      <c r="G87">
        <v>82657.039999999994</v>
      </c>
      <c r="H87">
        <v>4</v>
      </c>
      <c r="I87">
        <v>55</v>
      </c>
      <c r="J87" t="str">
        <f>IF(hospital_patient_treatment_dataset[[#This Row],[Treatment Cost]]&gt;75000,"High Cost","Low Cost")</f>
        <v>High Cost</v>
      </c>
      <c r="K8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88" spans="1:11" x14ac:dyDescent="0.25">
      <c r="A88" t="s">
        <v>113</v>
      </c>
      <c r="B88" t="s">
        <v>15</v>
      </c>
      <c r="C88" t="s">
        <v>16</v>
      </c>
      <c r="D88" t="s">
        <v>17</v>
      </c>
      <c r="E88" t="s">
        <v>29</v>
      </c>
      <c r="F88">
        <v>1</v>
      </c>
      <c r="G88">
        <v>16874.009999999998</v>
      </c>
      <c r="H88">
        <v>14</v>
      </c>
      <c r="I88">
        <v>76</v>
      </c>
      <c r="J88" t="str">
        <f>IF(hospital_patient_treatment_dataset[[#This Row],[Treatment Cost]]&gt;75000,"High Cost","Low Cost")</f>
        <v>Low Cost</v>
      </c>
      <c r="K8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89" spans="1:11" x14ac:dyDescent="0.25">
      <c r="A89" t="s">
        <v>114</v>
      </c>
      <c r="B89" t="s">
        <v>15</v>
      </c>
      <c r="C89" t="s">
        <v>41</v>
      </c>
      <c r="D89" t="s">
        <v>12</v>
      </c>
      <c r="E89" t="s">
        <v>18</v>
      </c>
      <c r="F89">
        <v>37</v>
      </c>
      <c r="G89">
        <v>8578.83</v>
      </c>
      <c r="H89">
        <v>2</v>
      </c>
      <c r="I89">
        <v>90</v>
      </c>
      <c r="J89" t="str">
        <f>IF(hospital_patient_treatment_dataset[[#This Row],[Treatment Cost]]&gt;75000,"High Cost","Low Cost")</f>
        <v>Low Cost</v>
      </c>
      <c r="K8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90" spans="1:11" x14ac:dyDescent="0.25">
      <c r="A90" t="s">
        <v>115</v>
      </c>
      <c r="B90" t="s">
        <v>36</v>
      </c>
      <c r="C90" t="s">
        <v>11</v>
      </c>
      <c r="D90" t="s">
        <v>17</v>
      </c>
      <c r="E90" t="s">
        <v>18</v>
      </c>
      <c r="F90">
        <v>7</v>
      </c>
      <c r="G90">
        <v>22311.39</v>
      </c>
      <c r="H90">
        <v>14</v>
      </c>
      <c r="I90">
        <v>86</v>
      </c>
      <c r="J90" t="str">
        <f>IF(hospital_patient_treatment_dataset[[#This Row],[Treatment Cost]]&gt;75000,"High Cost","Low Cost")</f>
        <v>Low Cost</v>
      </c>
      <c r="K9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91" spans="1:11" x14ac:dyDescent="0.25">
      <c r="A91" t="s">
        <v>116</v>
      </c>
      <c r="B91" t="s">
        <v>25</v>
      </c>
      <c r="C91" t="s">
        <v>41</v>
      </c>
      <c r="D91" t="s">
        <v>12</v>
      </c>
      <c r="E91" t="s">
        <v>29</v>
      </c>
      <c r="F91">
        <v>46</v>
      </c>
      <c r="G91">
        <v>128560.01</v>
      </c>
      <c r="H91">
        <v>7</v>
      </c>
      <c r="I91">
        <v>52</v>
      </c>
      <c r="J91" t="str">
        <f>IF(hospital_patient_treatment_dataset[[#This Row],[Treatment Cost]]&gt;75000,"High Cost","Low Cost")</f>
        <v>High Cost</v>
      </c>
      <c r="K9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92" spans="1:11" x14ac:dyDescent="0.25">
      <c r="A92" t="s">
        <v>117</v>
      </c>
      <c r="B92" t="s">
        <v>31</v>
      </c>
      <c r="C92" t="s">
        <v>11</v>
      </c>
      <c r="D92" t="s">
        <v>23</v>
      </c>
      <c r="E92" t="s">
        <v>29</v>
      </c>
      <c r="F92">
        <v>30</v>
      </c>
      <c r="G92">
        <v>147742.63</v>
      </c>
      <c r="H92">
        <v>28</v>
      </c>
      <c r="I92">
        <v>62</v>
      </c>
      <c r="J92" t="str">
        <f>IF(hospital_patient_treatment_dataset[[#This Row],[Treatment Cost]]&gt;75000,"High Cost","Low Cost")</f>
        <v>High Cost</v>
      </c>
      <c r="K9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93" spans="1:11" x14ac:dyDescent="0.25">
      <c r="A93" t="s">
        <v>118</v>
      </c>
      <c r="B93" t="s">
        <v>15</v>
      </c>
      <c r="C93" t="s">
        <v>11</v>
      </c>
      <c r="D93" t="s">
        <v>17</v>
      </c>
      <c r="E93" t="s">
        <v>29</v>
      </c>
      <c r="F93">
        <v>66</v>
      </c>
      <c r="G93">
        <v>54562.1</v>
      </c>
      <c r="H93">
        <v>21</v>
      </c>
      <c r="I93">
        <v>86</v>
      </c>
      <c r="J93" t="str">
        <f>IF(hospital_patient_treatment_dataset[[#This Row],[Treatment Cost]]&gt;75000,"High Cost","Low Cost")</f>
        <v>Low Cost</v>
      </c>
      <c r="K9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94" spans="1:11" x14ac:dyDescent="0.25">
      <c r="A94" t="s">
        <v>119</v>
      </c>
      <c r="B94" t="s">
        <v>36</v>
      </c>
      <c r="C94" t="s">
        <v>28</v>
      </c>
      <c r="D94" t="s">
        <v>23</v>
      </c>
      <c r="E94" t="s">
        <v>29</v>
      </c>
      <c r="F94">
        <v>1</v>
      </c>
      <c r="G94">
        <v>146289.26999999999</v>
      </c>
      <c r="H94">
        <v>17</v>
      </c>
      <c r="I94">
        <v>47</v>
      </c>
      <c r="J94" t="str">
        <f>IF(hospital_patient_treatment_dataset[[#This Row],[Treatment Cost]]&gt;75000,"High Cost","Low Cost")</f>
        <v>High Cost</v>
      </c>
      <c r="K9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95" spans="1:11" x14ac:dyDescent="0.25">
      <c r="A95" t="s">
        <v>120</v>
      </c>
      <c r="B95" t="s">
        <v>31</v>
      </c>
      <c r="C95" t="s">
        <v>41</v>
      </c>
      <c r="D95" t="s">
        <v>32</v>
      </c>
      <c r="E95" t="s">
        <v>29</v>
      </c>
      <c r="F95">
        <v>89</v>
      </c>
      <c r="G95">
        <v>128840.81</v>
      </c>
      <c r="H95">
        <v>22</v>
      </c>
      <c r="I95">
        <v>81</v>
      </c>
      <c r="J95" t="str">
        <f>IF(hospital_patient_treatment_dataset[[#This Row],[Treatment Cost]]&gt;75000,"High Cost","Low Cost")</f>
        <v>High Cost</v>
      </c>
      <c r="K9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96" spans="1:11" x14ac:dyDescent="0.25">
      <c r="A96" t="s">
        <v>121</v>
      </c>
      <c r="B96" t="s">
        <v>22</v>
      </c>
      <c r="C96" t="s">
        <v>16</v>
      </c>
      <c r="D96" t="s">
        <v>17</v>
      </c>
      <c r="E96" t="s">
        <v>29</v>
      </c>
      <c r="F96">
        <v>48</v>
      </c>
      <c r="G96">
        <v>19629.22</v>
      </c>
      <c r="H96">
        <v>2</v>
      </c>
      <c r="I96">
        <v>95</v>
      </c>
      <c r="J96" t="str">
        <f>IF(hospital_patient_treatment_dataset[[#This Row],[Treatment Cost]]&gt;75000,"High Cost","Low Cost")</f>
        <v>Low Cost</v>
      </c>
      <c r="K9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97" spans="1:11" x14ac:dyDescent="0.25">
      <c r="A97" t="s">
        <v>122</v>
      </c>
      <c r="B97" t="s">
        <v>31</v>
      </c>
      <c r="C97" t="s">
        <v>28</v>
      </c>
      <c r="D97" t="s">
        <v>32</v>
      </c>
      <c r="E97" t="s">
        <v>13</v>
      </c>
      <c r="F97">
        <v>59</v>
      </c>
      <c r="G97">
        <v>73629.03</v>
      </c>
      <c r="H97">
        <v>10</v>
      </c>
      <c r="I97">
        <v>85</v>
      </c>
      <c r="J97" t="str">
        <f>IF(hospital_patient_treatment_dataset[[#This Row],[Treatment Cost]]&gt;75000,"High Cost","Low Cost")</f>
        <v>Low Cost</v>
      </c>
      <c r="K9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98" spans="1:11" x14ac:dyDescent="0.25">
      <c r="A98" t="s">
        <v>123</v>
      </c>
      <c r="B98" t="s">
        <v>25</v>
      </c>
      <c r="C98" t="s">
        <v>16</v>
      </c>
      <c r="D98" t="s">
        <v>32</v>
      </c>
      <c r="E98" t="s">
        <v>29</v>
      </c>
      <c r="F98">
        <v>54</v>
      </c>
      <c r="G98">
        <v>100747.7</v>
      </c>
      <c r="H98">
        <v>12</v>
      </c>
      <c r="I98">
        <v>74</v>
      </c>
      <c r="J98" t="str">
        <f>IF(hospital_patient_treatment_dataset[[#This Row],[Treatment Cost]]&gt;75000,"High Cost","Low Cost")</f>
        <v>High Cost</v>
      </c>
      <c r="K9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99" spans="1:11" x14ac:dyDescent="0.25">
      <c r="A99" t="s">
        <v>124</v>
      </c>
      <c r="B99" t="s">
        <v>15</v>
      </c>
      <c r="C99" t="s">
        <v>11</v>
      </c>
      <c r="D99" t="s">
        <v>12</v>
      </c>
      <c r="E99" t="s">
        <v>29</v>
      </c>
      <c r="F99">
        <v>35</v>
      </c>
      <c r="G99">
        <v>85523.17</v>
      </c>
      <c r="H99">
        <v>30</v>
      </c>
      <c r="I99">
        <v>90</v>
      </c>
      <c r="J99" t="str">
        <f>IF(hospital_patient_treatment_dataset[[#This Row],[Treatment Cost]]&gt;75000,"High Cost","Low Cost")</f>
        <v>High Cost</v>
      </c>
      <c r="K9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00" spans="1:11" x14ac:dyDescent="0.25">
      <c r="A100" t="s">
        <v>125</v>
      </c>
      <c r="B100" t="s">
        <v>31</v>
      </c>
      <c r="C100" t="s">
        <v>16</v>
      </c>
      <c r="D100" t="s">
        <v>23</v>
      </c>
      <c r="E100" t="s">
        <v>29</v>
      </c>
      <c r="F100">
        <v>33</v>
      </c>
      <c r="G100">
        <v>79151.14</v>
      </c>
      <c r="H100">
        <v>2</v>
      </c>
      <c r="I100">
        <v>56</v>
      </c>
      <c r="J100" t="str">
        <f>IF(hospital_patient_treatment_dataset[[#This Row],[Treatment Cost]]&gt;75000,"High Cost","Low Cost")</f>
        <v>High Cost</v>
      </c>
      <c r="K10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01" spans="1:11" x14ac:dyDescent="0.25">
      <c r="A101" t="s">
        <v>126</v>
      </c>
      <c r="B101" t="s">
        <v>36</v>
      </c>
      <c r="C101" t="s">
        <v>11</v>
      </c>
      <c r="D101" t="s">
        <v>23</v>
      </c>
      <c r="E101" t="s">
        <v>13</v>
      </c>
      <c r="F101">
        <v>30</v>
      </c>
      <c r="G101">
        <v>115395.67</v>
      </c>
      <c r="H101">
        <v>11</v>
      </c>
      <c r="I101">
        <v>74</v>
      </c>
      <c r="J101" t="str">
        <f>IF(hospital_patient_treatment_dataset[[#This Row],[Treatment Cost]]&gt;75000,"High Cost","Low Cost")</f>
        <v>High Cost</v>
      </c>
      <c r="K10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02" spans="1:11" x14ac:dyDescent="0.25">
      <c r="A102" t="s">
        <v>127</v>
      </c>
      <c r="B102" t="s">
        <v>22</v>
      </c>
      <c r="C102" t="s">
        <v>28</v>
      </c>
      <c r="D102" t="s">
        <v>12</v>
      </c>
      <c r="E102" t="s">
        <v>13</v>
      </c>
      <c r="F102">
        <v>60</v>
      </c>
      <c r="G102">
        <v>49131.44</v>
      </c>
      <c r="H102">
        <v>2</v>
      </c>
      <c r="I102">
        <v>44</v>
      </c>
      <c r="J102" t="str">
        <f>IF(hospital_patient_treatment_dataset[[#This Row],[Treatment Cost]]&gt;75000,"High Cost","Low Cost")</f>
        <v>Low Cost</v>
      </c>
      <c r="K10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03" spans="1:11" x14ac:dyDescent="0.25">
      <c r="A103" t="s">
        <v>128</v>
      </c>
      <c r="B103" t="s">
        <v>31</v>
      </c>
      <c r="C103" t="s">
        <v>11</v>
      </c>
      <c r="D103" t="s">
        <v>23</v>
      </c>
      <c r="E103" t="s">
        <v>29</v>
      </c>
      <c r="F103">
        <v>70</v>
      </c>
      <c r="G103">
        <v>58132.5</v>
      </c>
      <c r="H103">
        <v>25</v>
      </c>
      <c r="I103">
        <v>43</v>
      </c>
      <c r="J103" t="str">
        <f>IF(hospital_patient_treatment_dataset[[#This Row],[Treatment Cost]]&gt;75000,"High Cost","Low Cost")</f>
        <v>Low Cost</v>
      </c>
      <c r="K10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04" spans="1:11" x14ac:dyDescent="0.25">
      <c r="A104" t="s">
        <v>129</v>
      </c>
      <c r="B104" t="s">
        <v>36</v>
      </c>
      <c r="C104" t="s">
        <v>41</v>
      </c>
      <c r="D104" t="s">
        <v>12</v>
      </c>
      <c r="E104" t="s">
        <v>13</v>
      </c>
      <c r="F104">
        <v>6</v>
      </c>
      <c r="G104">
        <v>77311.77</v>
      </c>
      <c r="H104">
        <v>19</v>
      </c>
      <c r="I104">
        <v>90</v>
      </c>
      <c r="J104" t="str">
        <f>IF(hospital_patient_treatment_dataset[[#This Row],[Treatment Cost]]&gt;75000,"High Cost","Low Cost")</f>
        <v>High Cost</v>
      </c>
      <c r="K10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05" spans="1:11" x14ac:dyDescent="0.25">
      <c r="A105" t="s">
        <v>130</v>
      </c>
      <c r="B105" t="s">
        <v>25</v>
      </c>
      <c r="C105" t="s">
        <v>28</v>
      </c>
      <c r="D105" t="s">
        <v>32</v>
      </c>
      <c r="E105" t="s">
        <v>29</v>
      </c>
      <c r="F105">
        <v>70</v>
      </c>
      <c r="G105">
        <v>14270.62</v>
      </c>
      <c r="H105">
        <v>24</v>
      </c>
      <c r="I105">
        <v>43</v>
      </c>
      <c r="J105" t="str">
        <f>IF(hospital_patient_treatment_dataset[[#This Row],[Treatment Cost]]&gt;75000,"High Cost","Low Cost")</f>
        <v>Low Cost</v>
      </c>
      <c r="K10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06" spans="1:11" x14ac:dyDescent="0.25">
      <c r="A106" t="s">
        <v>131</v>
      </c>
      <c r="B106" t="s">
        <v>15</v>
      </c>
      <c r="C106" t="s">
        <v>28</v>
      </c>
      <c r="D106" t="s">
        <v>26</v>
      </c>
      <c r="E106" t="s">
        <v>13</v>
      </c>
      <c r="F106">
        <v>52</v>
      </c>
      <c r="G106">
        <v>97685.72</v>
      </c>
      <c r="H106">
        <v>28</v>
      </c>
      <c r="I106">
        <v>59</v>
      </c>
      <c r="J106" t="str">
        <f>IF(hospital_patient_treatment_dataset[[#This Row],[Treatment Cost]]&gt;75000,"High Cost","Low Cost")</f>
        <v>High Cost</v>
      </c>
      <c r="K10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07" spans="1:11" x14ac:dyDescent="0.25">
      <c r="A107" t="s">
        <v>132</v>
      </c>
      <c r="B107" t="s">
        <v>10</v>
      </c>
      <c r="C107" t="s">
        <v>16</v>
      </c>
      <c r="D107" t="s">
        <v>23</v>
      </c>
      <c r="E107" t="s">
        <v>18</v>
      </c>
      <c r="F107">
        <v>64</v>
      </c>
      <c r="G107">
        <v>142687.47</v>
      </c>
      <c r="H107">
        <v>27</v>
      </c>
      <c r="I107">
        <v>80</v>
      </c>
      <c r="J107" t="str">
        <f>IF(hospital_patient_treatment_dataset[[#This Row],[Treatment Cost]]&gt;75000,"High Cost","Low Cost")</f>
        <v>High Cost</v>
      </c>
      <c r="K10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08" spans="1:11" x14ac:dyDescent="0.25">
      <c r="A108" t="s">
        <v>133</v>
      </c>
      <c r="B108" t="s">
        <v>31</v>
      </c>
      <c r="C108" t="s">
        <v>28</v>
      </c>
      <c r="D108" t="s">
        <v>17</v>
      </c>
      <c r="E108" t="s">
        <v>29</v>
      </c>
      <c r="F108">
        <v>35</v>
      </c>
      <c r="G108">
        <v>36754.51</v>
      </c>
      <c r="H108">
        <v>27</v>
      </c>
      <c r="I108">
        <v>49</v>
      </c>
      <c r="J108" t="str">
        <f>IF(hospital_patient_treatment_dataset[[#This Row],[Treatment Cost]]&gt;75000,"High Cost","Low Cost")</f>
        <v>Low Cost</v>
      </c>
      <c r="K10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09" spans="1:11" x14ac:dyDescent="0.25">
      <c r="A109" t="s">
        <v>134</v>
      </c>
      <c r="B109" t="s">
        <v>15</v>
      </c>
      <c r="C109" t="s">
        <v>16</v>
      </c>
      <c r="D109" t="s">
        <v>17</v>
      </c>
      <c r="E109" t="s">
        <v>29</v>
      </c>
      <c r="F109">
        <v>62</v>
      </c>
      <c r="G109">
        <v>34938.57</v>
      </c>
      <c r="H109">
        <v>8</v>
      </c>
      <c r="I109">
        <v>70</v>
      </c>
      <c r="J109" t="str">
        <f>IF(hospital_patient_treatment_dataset[[#This Row],[Treatment Cost]]&gt;75000,"High Cost","Low Cost")</f>
        <v>Low Cost</v>
      </c>
      <c r="K10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10" spans="1:11" x14ac:dyDescent="0.25">
      <c r="A110" t="s">
        <v>135</v>
      </c>
      <c r="B110" t="s">
        <v>22</v>
      </c>
      <c r="C110" t="s">
        <v>28</v>
      </c>
      <c r="D110" t="s">
        <v>12</v>
      </c>
      <c r="E110" t="s">
        <v>13</v>
      </c>
      <c r="F110">
        <v>22</v>
      </c>
      <c r="G110">
        <v>97228.49</v>
      </c>
      <c r="H110">
        <v>7</v>
      </c>
      <c r="I110">
        <v>60</v>
      </c>
      <c r="J110" t="str">
        <f>IF(hospital_patient_treatment_dataset[[#This Row],[Treatment Cost]]&gt;75000,"High Cost","Low Cost")</f>
        <v>High Cost</v>
      </c>
      <c r="K11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11" spans="1:11" x14ac:dyDescent="0.25">
      <c r="A111" t="s">
        <v>136</v>
      </c>
      <c r="B111" t="s">
        <v>25</v>
      </c>
      <c r="C111" t="s">
        <v>28</v>
      </c>
      <c r="D111" t="s">
        <v>17</v>
      </c>
      <c r="E111" t="s">
        <v>13</v>
      </c>
      <c r="F111">
        <v>42</v>
      </c>
      <c r="G111">
        <v>91441.1</v>
      </c>
      <c r="H111">
        <v>22</v>
      </c>
      <c r="I111">
        <v>84</v>
      </c>
      <c r="J111" t="str">
        <f>IF(hospital_patient_treatment_dataset[[#This Row],[Treatment Cost]]&gt;75000,"High Cost","Low Cost")</f>
        <v>High Cost</v>
      </c>
      <c r="K11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12" spans="1:11" x14ac:dyDescent="0.25">
      <c r="A112" t="s">
        <v>137</v>
      </c>
      <c r="B112" t="s">
        <v>10</v>
      </c>
      <c r="C112" t="s">
        <v>41</v>
      </c>
      <c r="D112" t="s">
        <v>32</v>
      </c>
      <c r="E112" t="s">
        <v>13</v>
      </c>
      <c r="F112">
        <v>24</v>
      </c>
      <c r="G112">
        <v>139624.06</v>
      </c>
      <c r="H112">
        <v>5</v>
      </c>
      <c r="I112">
        <v>55</v>
      </c>
      <c r="J112" t="str">
        <f>IF(hospital_patient_treatment_dataset[[#This Row],[Treatment Cost]]&gt;75000,"High Cost","Low Cost")</f>
        <v>High Cost</v>
      </c>
      <c r="K11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13" spans="1:11" x14ac:dyDescent="0.25">
      <c r="A113" t="s">
        <v>138</v>
      </c>
      <c r="B113" t="s">
        <v>25</v>
      </c>
      <c r="C113" t="s">
        <v>16</v>
      </c>
      <c r="D113" t="s">
        <v>12</v>
      </c>
      <c r="E113" t="s">
        <v>29</v>
      </c>
      <c r="F113">
        <v>17</v>
      </c>
      <c r="G113">
        <v>86650.5</v>
      </c>
      <c r="H113">
        <v>3</v>
      </c>
      <c r="I113">
        <v>53</v>
      </c>
      <c r="J113" t="str">
        <f>IF(hospital_patient_treatment_dataset[[#This Row],[Treatment Cost]]&gt;75000,"High Cost","Low Cost")</f>
        <v>High Cost</v>
      </c>
      <c r="K11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114" spans="1:11" x14ac:dyDescent="0.25">
      <c r="A114" t="s">
        <v>139</v>
      </c>
      <c r="B114" t="s">
        <v>31</v>
      </c>
      <c r="C114" t="s">
        <v>11</v>
      </c>
      <c r="D114" t="s">
        <v>17</v>
      </c>
      <c r="E114" t="s">
        <v>18</v>
      </c>
      <c r="F114">
        <v>75</v>
      </c>
      <c r="G114">
        <v>85517.09</v>
      </c>
      <c r="H114">
        <v>6</v>
      </c>
      <c r="I114">
        <v>79</v>
      </c>
      <c r="J114" t="str">
        <f>IF(hospital_patient_treatment_dataset[[#This Row],[Treatment Cost]]&gt;75000,"High Cost","Low Cost")</f>
        <v>High Cost</v>
      </c>
      <c r="K11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15" spans="1:11" x14ac:dyDescent="0.25">
      <c r="A115" t="s">
        <v>140</v>
      </c>
      <c r="B115" t="s">
        <v>10</v>
      </c>
      <c r="C115" t="s">
        <v>11</v>
      </c>
      <c r="D115" t="s">
        <v>17</v>
      </c>
      <c r="E115" t="s">
        <v>13</v>
      </c>
      <c r="F115">
        <v>47</v>
      </c>
      <c r="G115">
        <v>134120.62</v>
      </c>
      <c r="H115">
        <v>11</v>
      </c>
      <c r="I115">
        <v>92</v>
      </c>
      <c r="J115" t="str">
        <f>IF(hospital_patient_treatment_dataset[[#This Row],[Treatment Cost]]&gt;75000,"High Cost","Low Cost")</f>
        <v>High Cost</v>
      </c>
      <c r="K11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16" spans="1:11" x14ac:dyDescent="0.25">
      <c r="A116" t="s">
        <v>141</v>
      </c>
      <c r="B116" t="s">
        <v>22</v>
      </c>
      <c r="C116" t="s">
        <v>41</v>
      </c>
      <c r="D116" t="s">
        <v>23</v>
      </c>
      <c r="E116" t="s">
        <v>29</v>
      </c>
      <c r="F116">
        <v>81</v>
      </c>
      <c r="G116">
        <v>22593.06</v>
      </c>
      <c r="H116">
        <v>6</v>
      </c>
      <c r="I116">
        <v>67</v>
      </c>
      <c r="J116" t="str">
        <f>IF(hospital_patient_treatment_dataset[[#This Row],[Treatment Cost]]&gt;75000,"High Cost","Low Cost")</f>
        <v>Low Cost</v>
      </c>
      <c r="K11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17" spans="1:11" x14ac:dyDescent="0.25">
      <c r="A117" t="s">
        <v>142</v>
      </c>
      <c r="B117" t="s">
        <v>10</v>
      </c>
      <c r="C117" t="s">
        <v>28</v>
      </c>
      <c r="D117" t="s">
        <v>23</v>
      </c>
      <c r="E117" t="s">
        <v>18</v>
      </c>
      <c r="F117">
        <v>20</v>
      </c>
      <c r="G117">
        <v>88741.64</v>
      </c>
      <c r="H117">
        <v>26</v>
      </c>
      <c r="I117">
        <v>99</v>
      </c>
      <c r="J117" t="str">
        <f>IF(hospital_patient_treatment_dataset[[#This Row],[Treatment Cost]]&gt;75000,"High Cost","Low Cost")</f>
        <v>High Cost</v>
      </c>
      <c r="K11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18" spans="1:11" x14ac:dyDescent="0.25">
      <c r="A118" t="s">
        <v>143</v>
      </c>
      <c r="B118" t="s">
        <v>10</v>
      </c>
      <c r="C118" t="s">
        <v>16</v>
      </c>
      <c r="D118" t="s">
        <v>17</v>
      </c>
      <c r="E118" t="s">
        <v>18</v>
      </c>
      <c r="F118">
        <v>14</v>
      </c>
      <c r="G118">
        <v>10917.19</v>
      </c>
      <c r="H118">
        <v>22</v>
      </c>
      <c r="I118">
        <v>43</v>
      </c>
      <c r="J118" t="str">
        <f>IF(hospital_patient_treatment_dataset[[#This Row],[Treatment Cost]]&gt;75000,"High Cost","Low Cost")</f>
        <v>Low Cost</v>
      </c>
      <c r="K11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119" spans="1:11" x14ac:dyDescent="0.25">
      <c r="A119" t="s">
        <v>144</v>
      </c>
      <c r="B119" t="s">
        <v>10</v>
      </c>
      <c r="C119" t="s">
        <v>41</v>
      </c>
      <c r="D119" t="s">
        <v>32</v>
      </c>
      <c r="E119" t="s">
        <v>13</v>
      </c>
      <c r="F119">
        <v>30</v>
      </c>
      <c r="G119">
        <v>97613.71</v>
      </c>
      <c r="H119">
        <v>24</v>
      </c>
      <c r="I119">
        <v>72</v>
      </c>
      <c r="J119" t="str">
        <f>IF(hospital_patient_treatment_dataset[[#This Row],[Treatment Cost]]&gt;75000,"High Cost","Low Cost")</f>
        <v>High Cost</v>
      </c>
      <c r="K11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20" spans="1:11" x14ac:dyDescent="0.25">
      <c r="A120" t="s">
        <v>145</v>
      </c>
      <c r="B120" t="s">
        <v>36</v>
      </c>
      <c r="C120" t="s">
        <v>41</v>
      </c>
      <c r="D120" t="s">
        <v>23</v>
      </c>
      <c r="E120" t="s">
        <v>13</v>
      </c>
      <c r="F120">
        <v>81</v>
      </c>
      <c r="G120">
        <v>135711.26999999999</v>
      </c>
      <c r="H120">
        <v>14</v>
      </c>
      <c r="I120">
        <v>99</v>
      </c>
      <c r="J120" t="str">
        <f>IF(hospital_patient_treatment_dataset[[#This Row],[Treatment Cost]]&gt;75000,"High Cost","Low Cost")</f>
        <v>High Cost</v>
      </c>
      <c r="K12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21" spans="1:11" x14ac:dyDescent="0.25">
      <c r="A121" t="s">
        <v>146</v>
      </c>
      <c r="B121" t="s">
        <v>15</v>
      </c>
      <c r="C121" t="s">
        <v>16</v>
      </c>
      <c r="D121" t="s">
        <v>23</v>
      </c>
      <c r="E121" t="s">
        <v>13</v>
      </c>
      <c r="F121">
        <v>48</v>
      </c>
      <c r="G121">
        <v>117464.18</v>
      </c>
      <c r="H121">
        <v>2</v>
      </c>
      <c r="I121">
        <v>61</v>
      </c>
      <c r="J121" t="str">
        <f>IF(hospital_patient_treatment_dataset[[#This Row],[Treatment Cost]]&gt;75000,"High Cost","Low Cost")</f>
        <v>High Cost</v>
      </c>
      <c r="K12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22" spans="1:11" x14ac:dyDescent="0.25">
      <c r="A122" t="s">
        <v>147</v>
      </c>
      <c r="B122" t="s">
        <v>22</v>
      </c>
      <c r="C122" t="s">
        <v>16</v>
      </c>
      <c r="D122" t="s">
        <v>23</v>
      </c>
      <c r="E122" t="s">
        <v>29</v>
      </c>
      <c r="F122">
        <v>45</v>
      </c>
      <c r="G122">
        <v>89474.55</v>
      </c>
      <c r="H122">
        <v>21</v>
      </c>
      <c r="I122">
        <v>64</v>
      </c>
      <c r="J122" t="str">
        <f>IF(hospital_patient_treatment_dataset[[#This Row],[Treatment Cost]]&gt;75000,"High Cost","Low Cost")</f>
        <v>High Cost</v>
      </c>
      <c r="K12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23" spans="1:11" x14ac:dyDescent="0.25">
      <c r="A123" t="s">
        <v>148</v>
      </c>
      <c r="B123" t="s">
        <v>10</v>
      </c>
      <c r="C123" t="s">
        <v>41</v>
      </c>
      <c r="D123" t="s">
        <v>32</v>
      </c>
      <c r="E123" t="s">
        <v>29</v>
      </c>
      <c r="F123">
        <v>1</v>
      </c>
      <c r="G123">
        <v>105954.09</v>
      </c>
      <c r="H123">
        <v>12</v>
      </c>
      <c r="I123">
        <v>95</v>
      </c>
      <c r="J123" t="str">
        <f>IF(hospital_patient_treatment_dataset[[#This Row],[Treatment Cost]]&gt;75000,"High Cost","Low Cost")</f>
        <v>High Cost</v>
      </c>
      <c r="K12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24" spans="1:11" x14ac:dyDescent="0.25">
      <c r="A124" t="s">
        <v>149</v>
      </c>
      <c r="B124" t="s">
        <v>15</v>
      </c>
      <c r="C124" t="s">
        <v>28</v>
      </c>
      <c r="D124" t="s">
        <v>26</v>
      </c>
      <c r="E124" t="s">
        <v>13</v>
      </c>
      <c r="F124">
        <v>30</v>
      </c>
      <c r="G124">
        <v>91267.91</v>
      </c>
      <c r="H124">
        <v>17</v>
      </c>
      <c r="I124">
        <v>76</v>
      </c>
      <c r="J124" t="str">
        <f>IF(hospital_patient_treatment_dataset[[#This Row],[Treatment Cost]]&gt;75000,"High Cost","Low Cost")</f>
        <v>High Cost</v>
      </c>
      <c r="K12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25" spans="1:11" x14ac:dyDescent="0.25">
      <c r="A125" t="s">
        <v>150</v>
      </c>
      <c r="B125" t="s">
        <v>36</v>
      </c>
      <c r="C125" t="s">
        <v>11</v>
      </c>
      <c r="D125" t="s">
        <v>26</v>
      </c>
      <c r="E125" t="s">
        <v>13</v>
      </c>
      <c r="F125">
        <v>3</v>
      </c>
      <c r="G125">
        <v>46506.94</v>
      </c>
      <c r="H125">
        <v>9</v>
      </c>
      <c r="I125">
        <v>72</v>
      </c>
      <c r="J125" t="str">
        <f>IF(hospital_patient_treatment_dataset[[#This Row],[Treatment Cost]]&gt;75000,"High Cost","Low Cost")</f>
        <v>Low Cost</v>
      </c>
      <c r="K12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26" spans="1:11" x14ac:dyDescent="0.25">
      <c r="A126" t="s">
        <v>151</v>
      </c>
      <c r="B126" t="s">
        <v>31</v>
      </c>
      <c r="C126" t="s">
        <v>41</v>
      </c>
      <c r="D126" t="s">
        <v>17</v>
      </c>
      <c r="E126" t="s">
        <v>13</v>
      </c>
      <c r="F126">
        <v>78</v>
      </c>
      <c r="G126">
        <v>40568.300000000003</v>
      </c>
      <c r="H126">
        <v>18</v>
      </c>
      <c r="I126">
        <v>91</v>
      </c>
      <c r="J126" t="str">
        <f>IF(hospital_patient_treatment_dataset[[#This Row],[Treatment Cost]]&gt;75000,"High Cost","Low Cost")</f>
        <v>Low Cost</v>
      </c>
      <c r="K12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27" spans="1:11" x14ac:dyDescent="0.25">
      <c r="A127" t="s">
        <v>152</v>
      </c>
      <c r="B127" t="s">
        <v>22</v>
      </c>
      <c r="C127" t="s">
        <v>11</v>
      </c>
      <c r="D127" t="s">
        <v>32</v>
      </c>
      <c r="E127" t="s">
        <v>18</v>
      </c>
      <c r="F127">
        <v>35</v>
      </c>
      <c r="G127">
        <v>132265.98000000001</v>
      </c>
      <c r="H127">
        <v>7</v>
      </c>
      <c r="I127">
        <v>45</v>
      </c>
      <c r="J127" t="str">
        <f>IF(hospital_patient_treatment_dataset[[#This Row],[Treatment Cost]]&gt;75000,"High Cost","Low Cost")</f>
        <v>High Cost</v>
      </c>
      <c r="K12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28" spans="1:11" x14ac:dyDescent="0.25">
      <c r="A128" t="s">
        <v>153</v>
      </c>
      <c r="B128" t="s">
        <v>15</v>
      </c>
      <c r="C128" t="s">
        <v>41</v>
      </c>
      <c r="D128" t="s">
        <v>23</v>
      </c>
      <c r="E128" t="s">
        <v>18</v>
      </c>
      <c r="F128">
        <v>88</v>
      </c>
      <c r="G128">
        <v>50993.47</v>
      </c>
      <c r="H128">
        <v>4</v>
      </c>
      <c r="I128">
        <v>82</v>
      </c>
      <c r="J128" t="str">
        <f>IF(hospital_patient_treatment_dataset[[#This Row],[Treatment Cost]]&gt;75000,"High Cost","Low Cost")</f>
        <v>Low Cost</v>
      </c>
      <c r="K12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129" spans="1:11" x14ac:dyDescent="0.25">
      <c r="A129" t="s">
        <v>154</v>
      </c>
      <c r="B129" t="s">
        <v>22</v>
      </c>
      <c r="C129" t="s">
        <v>41</v>
      </c>
      <c r="D129" t="s">
        <v>17</v>
      </c>
      <c r="E129" t="s">
        <v>18</v>
      </c>
      <c r="F129">
        <v>7</v>
      </c>
      <c r="G129">
        <v>135590.48000000001</v>
      </c>
      <c r="H129">
        <v>6</v>
      </c>
      <c r="I129">
        <v>46</v>
      </c>
      <c r="J129" t="str">
        <f>IF(hospital_patient_treatment_dataset[[#This Row],[Treatment Cost]]&gt;75000,"High Cost","Low Cost")</f>
        <v>High Cost</v>
      </c>
      <c r="K12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30" spans="1:11" x14ac:dyDescent="0.25">
      <c r="A130" t="s">
        <v>155</v>
      </c>
      <c r="B130" t="s">
        <v>15</v>
      </c>
      <c r="C130" t="s">
        <v>41</v>
      </c>
      <c r="D130" t="s">
        <v>32</v>
      </c>
      <c r="E130" t="s">
        <v>13</v>
      </c>
      <c r="F130">
        <v>73</v>
      </c>
      <c r="G130">
        <v>148956.56</v>
      </c>
      <c r="H130">
        <v>6</v>
      </c>
      <c r="I130">
        <v>100</v>
      </c>
      <c r="J130" t="str">
        <f>IF(hospital_patient_treatment_dataset[[#This Row],[Treatment Cost]]&gt;75000,"High Cost","Low Cost")</f>
        <v>High Cost</v>
      </c>
      <c r="K13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31" spans="1:11" x14ac:dyDescent="0.25">
      <c r="A131" t="s">
        <v>156</v>
      </c>
      <c r="B131" t="s">
        <v>25</v>
      </c>
      <c r="C131" t="s">
        <v>16</v>
      </c>
      <c r="D131" t="s">
        <v>12</v>
      </c>
      <c r="E131" t="s">
        <v>18</v>
      </c>
      <c r="F131">
        <v>83</v>
      </c>
      <c r="G131">
        <v>71584.960000000006</v>
      </c>
      <c r="H131">
        <v>26</v>
      </c>
      <c r="I131">
        <v>55</v>
      </c>
      <c r="J131" t="str">
        <f>IF(hospital_patient_treatment_dataset[[#This Row],[Treatment Cost]]&gt;75000,"High Cost","Low Cost")</f>
        <v>Low Cost</v>
      </c>
      <c r="K13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32" spans="1:11" x14ac:dyDescent="0.25">
      <c r="A132" t="s">
        <v>157</v>
      </c>
      <c r="B132" t="s">
        <v>22</v>
      </c>
      <c r="C132" t="s">
        <v>28</v>
      </c>
      <c r="D132" t="s">
        <v>17</v>
      </c>
      <c r="E132" t="s">
        <v>29</v>
      </c>
      <c r="F132">
        <v>37</v>
      </c>
      <c r="G132">
        <v>78613.16</v>
      </c>
      <c r="H132">
        <v>20</v>
      </c>
      <c r="I132">
        <v>85</v>
      </c>
      <c r="J132" t="str">
        <f>IF(hospital_patient_treatment_dataset[[#This Row],[Treatment Cost]]&gt;75000,"High Cost","Low Cost")</f>
        <v>High Cost</v>
      </c>
      <c r="K13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33" spans="1:11" x14ac:dyDescent="0.25">
      <c r="A133" t="s">
        <v>158</v>
      </c>
      <c r="B133" t="s">
        <v>22</v>
      </c>
      <c r="C133" t="s">
        <v>11</v>
      </c>
      <c r="D133" t="s">
        <v>23</v>
      </c>
      <c r="E133" t="s">
        <v>18</v>
      </c>
      <c r="F133">
        <v>53</v>
      </c>
      <c r="G133">
        <v>103548.4</v>
      </c>
      <c r="H133">
        <v>27</v>
      </c>
      <c r="I133">
        <v>74</v>
      </c>
      <c r="J133" t="str">
        <f>IF(hospital_patient_treatment_dataset[[#This Row],[Treatment Cost]]&gt;75000,"High Cost","Low Cost")</f>
        <v>High Cost</v>
      </c>
      <c r="K13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34" spans="1:11" x14ac:dyDescent="0.25">
      <c r="A134" t="s">
        <v>159</v>
      </c>
      <c r="B134" t="s">
        <v>31</v>
      </c>
      <c r="C134" t="s">
        <v>11</v>
      </c>
      <c r="D134" t="s">
        <v>32</v>
      </c>
      <c r="E134" t="s">
        <v>29</v>
      </c>
      <c r="F134">
        <v>50</v>
      </c>
      <c r="G134">
        <v>62134.18</v>
      </c>
      <c r="H134">
        <v>13</v>
      </c>
      <c r="I134">
        <v>40</v>
      </c>
      <c r="J134" t="str">
        <f>IF(hospital_patient_treatment_dataset[[#This Row],[Treatment Cost]]&gt;75000,"High Cost","Low Cost")</f>
        <v>Low Cost</v>
      </c>
      <c r="K13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35" spans="1:11" x14ac:dyDescent="0.25">
      <c r="A135" t="s">
        <v>160</v>
      </c>
      <c r="B135" t="s">
        <v>36</v>
      </c>
      <c r="C135" t="s">
        <v>41</v>
      </c>
      <c r="D135" t="s">
        <v>32</v>
      </c>
      <c r="E135" t="s">
        <v>18</v>
      </c>
      <c r="F135">
        <v>7</v>
      </c>
      <c r="G135">
        <v>59235.13</v>
      </c>
      <c r="H135">
        <v>12</v>
      </c>
      <c r="I135">
        <v>42</v>
      </c>
      <c r="J135" t="str">
        <f>IF(hospital_patient_treatment_dataset[[#This Row],[Treatment Cost]]&gt;75000,"High Cost","Low Cost")</f>
        <v>Low Cost</v>
      </c>
      <c r="K13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36" spans="1:11" x14ac:dyDescent="0.25">
      <c r="A136" t="s">
        <v>161</v>
      </c>
      <c r="B136" t="s">
        <v>10</v>
      </c>
      <c r="C136" t="s">
        <v>28</v>
      </c>
      <c r="D136" t="s">
        <v>32</v>
      </c>
      <c r="E136" t="s">
        <v>18</v>
      </c>
      <c r="F136">
        <v>38</v>
      </c>
      <c r="G136">
        <v>118022.05</v>
      </c>
      <c r="H136">
        <v>17</v>
      </c>
      <c r="I136">
        <v>79</v>
      </c>
      <c r="J136" t="str">
        <f>IF(hospital_patient_treatment_dataset[[#This Row],[Treatment Cost]]&gt;75000,"High Cost","Low Cost")</f>
        <v>High Cost</v>
      </c>
      <c r="K13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37" spans="1:11" x14ac:dyDescent="0.25">
      <c r="A137" t="s">
        <v>162</v>
      </c>
      <c r="B137" t="s">
        <v>25</v>
      </c>
      <c r="C137" t="s">
        <v>11</v>
      </c>
      <c r="D137" t="s">
        <v>26</v>
      </c>
      <c r="E137" t="s">
        <v>13</v>
      </c>
      <c r="F137">
        <v>49</v>
      </c>
      <c r="G137">
        <v>127750.62</v>
      </c>
      <c r="H137">
        <v>18</v>
      </c>
      <c r="I137">
        <v>60</v>
      </c>
      <c r="J137" t="str">
        <f>IF(hospital_patient_treatment_dataset[[#This Row],[Treatment Cost]]&gt;75000,"High Cost","Low Cost")</f>
        <v>High Cost</v>
      </c>
      <c r="K13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38" spans="1:11" x14ac:dyDescent="0.25">
      <c r="A138" t="s">
        <v>163</v>
      </c>
      <c r="B138" t="s">
        <v>15</v>
      </c>
      <c r="C138" t="s">
        <v>28</v>
      </c>
      <c r="D138" t="s">
        <v>17</v>
      </c>
      <c r="E138" t="s">
        <v>29</v>
      </c>
      <c r="F138">
        <v>27</v>
      </c>
      <c r="G138">
        <v>79666.86</v>
      </c>
      <c r="H138">
        <v>16</v>
      </c>
      <c r="I138">
        <v>85</v>
      </c>
      <c r="J138" t="str">
        <f>IF(hospital_patient_treatment_dataset[[#This Row],[Treatment Cost]]&gt;75000,"High Cost","Low Cost")</f>
        <v>High Cost</v>
      </c>
      <c r="K13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39" spans="1:11" x14ac:dyDescent="0.25">
      <c r="A139" t="s">
        <v>164</v>
      </c>
      <c r="B139" t="s">
        <v>22</v>
      </c>
      <c r="C139" t="s">
        <v>41</v>
      </c>
      <c r="D139" t="s">
        <v>12</v>
      </c>
      <c r="E139" t="s">
        <v>13</v>
      </c>
      <c r="F139">
        <v>65</v>
      </c>
      <c r="G139">
        <v>120956.04</v>
      </c>
      <c r="H139">
        <v>25</v>
      </c>
      <c r="I139">
        <v>95</v>
      </c>
      <c r="J139" t="str">
        <f>IF(hospital_patient_treatment_dataset[[#This Row],[Treatment Cost]]&gt;75000,"High Cost","Low Cost")</f>
        <v>High Cost</v>
      </c>
      <c r="K13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40" spans="1:11" x14ac:dyDescent="0.25">
      <c r="A140" t="s">
        <v>165</v>
      </c>
      <c r="B140" t="s">
        <v>10</v>
      </c>
      <c r="C140" t="s">
        <v>28</v>
      </c>
      <c r="D140" t="s">
        <v>26</v>
      </c>
      <c r="E140" t="s">
        <v>18</v>
      </c>
      <c r="F140">
        <v>58</v>
      </c>
      <c r="G140">
        <v>100338.81</v>
      </c>
      <c r="H140">
        <v>7</v>
      </c>
      <c r="I140">
        <v>59</v>
      </c>
      <c r="J140" t="str">
        <f>IF(hospital_patient_treatment_dataset[[#This Row],[Treatment Cost]]&gt;75000,"High Cost","Low Cost")</f>
        <v>High Cost</v>
      </c>
      <c r="K14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41" spans="1:11" x14ac:dyDescent="0.25">
      <c r="A141" t="s">
        <v>166</v>
      </c>
      <c r="B141" t="s">
        <v>31</v>
      </c>
      <c r="C141" t="s">
        <v>28</v>
      </c>
      <c r="D141" t="s">
        <v>12</v>
      </c>
      <c r="E141" t="s">
        <v>13</v>
      </c>
      <c r="F141">
        <v>22</v>
      </c>
      <c r="G141">
        <v>120621.62</v>
      </c>
      <c r="H141">
        <v>21</v>
      </c>
      <c r="I141">
        <v>74</v>
      </c>
      <c r="J141" t="str">
        <f>IF(hospital_patient_treatment_dataset[[#This Row],[Treatment Cost]]&gt;75000,"High Cost","Low Cost")</f>
        <v>High Cost</v>
      </c>
      <c r="K14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42" spans="1:11" x14ac:dyDescent="0.25">
      <c r="A142" t="s">
        <v>167</v>
      </c>
      <c r="B142" t="s">
        <v>10</v>
      </c>
      <c r="C142" t="s">
        <v>28</v>
      </c>
      <c r="D142" t="s">
        <v>23</v>
      </c>
      <c r="E142" t="s">
        <v>18</v>
      </c>
      <c r="F142">
        <v>10</v>
      </c>
      <c r="G142">
        <v>21143.75</v>
      </c>
      <c r="H142">
        <v>2</v>
      </c>
      <c r="I142">
        <v>42</v>
      </c>
      <c r="J142" t="str">
        <f>IF(hospital_patient_treatment_dataset[[#This Row],[Treatment Cost]]&gt;75000,"High Cost","Low Cost")</f>
        <v>Low Cost</v>
      </c>
      <c r="K14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43" spans="1:11" x14ac:dyDescent="0.25">
      <c r="A143" t="s">
        <v>168</v>
      </c>
      <c r="B143" t="s">
        <v>31</v>
      </c>
      <c r="C143" t="s">
        <v>28</v>
      </c>
      <c r="D143" t="s">
        <v>32</v>
      </c>
      <c r="E143" t="s">
        <v>29</v>
      </c>
      <c r="F143">
        <v>37</v>
      </c>
      <c r="G143">
        <v>58168.06</v>
      </c>
      <c r="H143">
        <v>3</v>
      </c>
      <c r="I143">
        <v>84</v>
      </c>
      <c r="J143" t="str">
        <f>IF(hospital_patient_treatment_dataset[[#This Row],[Treatment Cost]]&gt;75000,"High Cost","Low Cost")</f>
        <v>Low Cost</v>
      </c>
      <c r="K14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44" spans="1:11" x14ac:dyDescent="0.25">
      <c r="A144" t="s">
        <v>169</v>
      </c>
      <c r="B144" t="s">
        <v>15</v>
      </c>
      <c r="C144" t="s">
        <v>41</v>
      </c>
      <c r="D144" t="s">
        <v>32</v>
      </c>
      <c r="E144" t="s">
        <v>13</v>
      </c>
      <c r="F144">
        <v>57</v>
      </c>
      <c r="G144">
        <v>121600.57</v>
      </c>
      <c r="H144">
        <v>19</v>
      </c>
      <c r="I144">
        <v>94</v>
      </c>
      <c r="J144" t="str">
        <f>IF(hospital_patient_treatment_dataset[[#This Row],[Treatment Cost]]&gt;75000,"High Cost","Low Cost")</f>
        <v>High Cost</v>
      </c>
      <c r="K14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45" spans="1:11" x14ac:dyDescent="0.25">
      <c r="A145" t="s">
        <v>170</v>
      </c>
      <c r="B145" t="s">
        <v>25</v>
      </c>
      <c r="C145" t="s">
        <v>16</v>
      </c>
      <c r="D145" t="s">
        <v>26</v>
      </c>
      <c r="E145" t="s">
        <v>18</v>
      </c>
      <c r="F145">
        <v>26</v>
      </c>
      <c r="G145">
        <v>60409.31</v>
      </c>
      <c r="H145">
        <v>25</v>
      </c>
      <c r="I145">
        <v>94</v>
      </c>
      <c r="J145" t="str">
        <f>IF(hospital_patient_treatment_dataset[[#This Row],[Treatment Cost]]&gt;75000,"High Cost","Low Cost")</f>
        <v>Low Cost</v>
      </c>
      <c r="K14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46" spans="1:11" x14ac:dyDescent="0.25">
      <c r="A146" t="s">
        <v>171</v>
      </c>
      <c r="B146" t="s">
        <v>10</v>
      </c>
      <c r="C146" t="s">
        <v>16</v>
      </c>
      <c r="D146" t="s">
        <v>23</v>
      </c>
      <c r="E146" t="s">
        <v>18</v>
      </c>
      <c r="F146">
        <v>51</v>
      </c>
      <c r="G146">
        <v>148766.01</v>
      </c>
      <c r="H146">
        <v>21</v>
      </c>
      <c r="I146">
        <v>76</v>
      </c>
      <c r="J146" t="str">
        <f>IF(hospital_patient_treatment_dataset[[#This Row],[Treatment Cost]]&gt;75000,"High Cost","Low Cost")</f>
        <v>High Cost</v>
      </c>
      <c r="K14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47" spans="1:11" x14ac:dyDescent="0.25">
      <c r="A147" t="s">
        <v>172</v>
      </c>
      <c r="B147" t="s">
        <v>10</v>
      </c>
      <c r="C147" t="s">
        <v>28</v>
      </c>
      <c r="D147" t="s">
        <v>26</v>
      </c>
      <c r="E147" t="s">
        <v>18</v>
      </c>
      <c r="F147">
        <v>1</v>
      </c>
      <c r="G147">
        <v>46211.03</v>
      </c>
      <c r="H147">
        <v>4</v>
      </c>
      <c r="I147">
        <v>97</v>
      </c>
      <c r="J147" t="str">
        <f>IF(hospital_patient_treatment_dataset[[#This Row],[Treatment Cost]]&gt;75000,"High Cost","Low Cost")</f>
        <v>Low Cost</v>
      </c>
      <c r="K14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48" spans="1:11" x14ac:dyDescent="0.25">
      <c r="A148" t="s">
        <v>173</v>
      </c>
      <c r="B148" t="s">
        <v>36</v>
      </c>
      <c r="C148" t="s">
        <v>11</v>
      </c>
      <c r="D148" t="s">
        <v>26</v>
      </c>
      <c r="E148" t="s">
        <v>18</v>
      </c>
      <c r="F148">
        <v>61</v>
      </c>
      <c r="G148">
        <v>32781.94</v>
      </c>
      <c r="H148">
        <v>1</v>
      </c>
      <c r="I148">
        <v>83</v>
      </c>
      <c r="J148" t="str">
        <f>IF(hospital_patient_treatment_dataset[[#This Row],[Treatment Cost]]&gt;75000,"High Cost","Low Cost")</f>
        <v>Low Cost</v>
      </c>
      <c r="K14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49" spans="1:11" x14ac:dyDescent="0.25">
      <c r="A149" t="s">
        <v>174</v>
      </c>
      <c r="B149" t="s">
        <v>36</v>
      </c>
      <c r="C149" t="s">
        <v>16</v>
      </c>
      <c r="D149" t="s">
        <v>17</v>
      </c>
      <c r="E149" t="s">
        <v>29</v>
      </c>
      <c r="F149">
        <v>34</v>
      </c>
      <c r="G149">
        <v>139264.72</v>
      </c>
      <c r="H149">
        <v>14</v>
      </c>
      <c r="I149">
        <v>72</v>
      </c>
      <c r="J149" t="str">
        <f>IF(hospital_patient_treatment_dataset[[#This Row],[Treatment Cost]]&gt;75000,"High Cost","Low Cost")</f>
        <v>High Cost</v>
      </c>
      <c r="K14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50" spans="1:11" x14ac:dyDescent="0.25">
      <c r="A150" t="s">
        <v>175</v>
      </c>
      <c r="B150" t="s">
        <v>15</v>
      </c>
      <c r="C150" t="s">
        <v>11</v>
      </c>
      <c r="D150" t="s">
        <v>32</v>
      </c>
      <c r="E150" t="s">
        <v>13</v>
      </c>
      <c r="F150">
        <v>78</v>
      </c>
      <c r="G150">
        <v>15165.98</v>
      </c>
      <c r="H150">
        <v>25</v>
      </c>
      <c r="I150">
        <v>86</v>
      </c>
      <c r="J150" t="str">
        <f>IF(hospital_patient_treatment_dataset[[#This Row],[Treatment Cost]]&gt;75000,"High Cost","Low Cost")</f>
        <v>Low Cost</v>
      </c>
      <c r="K15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51" spans="1:11" x14ac:dyDescent="0.25">
      <c r="A151" t="s">
        <v>176</v>
      </c>
      <c r="B151" t="s">
        <v>10</v>
      </c>
      <c r="C151" t="s">
        <v>28</v>
      </c>
      <c r="D151" t="s">
        <v>17</v>
      </c>
      <c r="E151" t="s">
        <v>18</v>
      </c>
      <c r="F151">
        <v>73</v>
      </c>
      <c r="G151">
        <v>133910.69</v>
      </c>
      <c r="H151">
        <v>22</v>
      </c>
      <c r="I151">
        <v>87</v>
      </c>
      <c r="J151" t="str">
        <f>IF(hospital_patient_treatment_dataset[[#This Row],[Treatment Cost]]&gt;75000,"High Cost","Low Cost")</f>
        <v>High Cost</v>
      </c>
      <c r="K15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52" spans="1:11" x14ac:dyDescent="0.25">
      <c r="A152" t="s">
        <v>177</v>
      </c>
      <c r="B152" t="s">
        <v>25</v>
      </c>
      <c r="C152" t="s">
        <v>28</v>
      </c>
      <c r="D152" t="s">
        <v>12</v>
      </c>
      <c r="E152" t="s">
        <v>18</v>
      </c>
      <c r="F152">
        <v>8</v>
      </c>
      <c r="G152">
        <v>82835.539999999994</v>
      </c>
      <c r="H152">
        <v>24</v>
      </c>
      <c r="I152">
        <v>94</v>
      </c>
      <c r="J152" t="str">
        <f>IF(hospital_patient_treatment_dataset[[#This Row],[Treatment Cost]]&gt;75000,"High Cost","Low Cost")</f>
        <v>High Cost</v>
      </c>
      <c r="K15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53" spans="1:11" x14ac:dyDescent="0.25">
      <c r="A153" t="s">
        <v>178</v>
      </c>
      <c r="B153" t="s">
        <v>10</v>
      </c>
      <c r="C153" t="s">
        <v>16</v>
      </c>
      <c r="D153" t="s">
        <v>32</v>
      </c>
      <c r="E153" t="s">
        <v>18</v>
      </c>
      <c r="F153">
        <v>16</v>
      </c>
      <c r="G153">
        <v>109945.06</v>
      </c>
      <c r="H153">
        <v>23</v>
      </c>
      <c r="I153">
        <v>76</v>
      </c>
      <c r="J153" t="str">
        <f>IF(hospital_patient_treatment_dataset[[#This Row],[Treatment Cost]]&gt;75000,"High Cost","Low Cost")</f>
        <v>High Cost</v>
      </c>
      <c r="K15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154" spans="1:11" x14ac:dyDescent="0.25">
      <c r="A154" t="s">
        <v>179</v>
      </c>
      <c r="B154" t="s">
        <v>10</v>
      </c>
      <c r="C154" t="s">
        <v>16</v>
      </c>
      <c r="D154" t="s">
        <v>26</v>
      </c>
      <c r="E154" t="s">
        <v>29</v>
      </c>
      <c r="F154">
        <v>3</v>
      </c>
      <c r="G154">
        <v>40894.400000000001</v>
      </c>
      <c r="H154">
        <v>20</v>
      </c>
      <c r="I154">
        <v>46</v>
      </c>
      <c r="J154" t="str">
        <f>IF(hospital_patient_treatment_dataset[[#This Row],[Treatment Cost]]&gt;75000,"High Cost","Low Cost")</f>
        <v>Low Cost</v>
      </c>
      <c r="K15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55" spans="1:11" x14ac:dyDescent="0.25">
      <c r="A155" t="s">
        <v>180</v>
      </c>
      <c r="B155" t="s">
        <v>10</v>
      </c>
      <c r="C155" t="s">
        <v>16</v>
      </c>
      <c r="D155" t="s">
        <v>26</v>
      </c>
      <c r="E155" t="s">
        <v>29</v>
      </c>
      <c r="F155">
        <v>28</v>
      </c>
      <c r="G155">
        <v>5522.04</v>
      </c>
      <c r="H155">
        <v>20</v>
      </c>
      <c r="I155">
        <v>95</v>
      </c>
      <c r="J155" t="str">
        <f>IF(hospital_patient_treatment_dataset[[#This Row],[Treatment Cost]]&gt;75000,"High Cost","Low Cost")</f>
        <v>Low Cost</v>
      </c>
      <c r="K15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56" spans="1:11" x14ac:dyDescent="0.25">
      <c r="A156" t="s">
        <v>181</v>
      </c>
      <c r="B156" t="s">
        <v>22</v>
      </c>
      <c r="C156" t="s">
        <v>41</v>
      </c>
      <c r="D156" t="s">
        <v>26</v>
      </c>
      <c r="E156" t="s">
        <v>18</v>
      </c>
      <c r="F156">
        <v>38</v>
      </c>
      <c r="G156">
        <v>121567.96</v>
      </c>
      <c r="H156">
        <v>26</v>
      </c>
      <c r="I156">
        <v>65</v>
      </c>
      <c r="J156" t="str">
        <f>IF(hospital_patient_treatment_dataset[[#This Row],[Treatment Cost]]&gt;75000,"High Cost","Low Cost")</f>
        <v>High Cost</v>
      </c>
      <c r="K15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57" spans="1:11" x14ac:dyDescent="0.25">
      <c r="A157" t="s">
        <v>182</v>
      </c>
      <c r="B157" t="s">
        <v>10</v>
      </c>
      <c r="C157" t="s">
        <v>41</v>
      </c>
      <c r="D157" t="s">
        <v>32</v>
      </c>
      <c r="E157" t="s">
        <v>13</v>
      </c>
      <c r="F157">
        <v>2</v>
      </c>
      <c r="G157">
        <v>14606.74</v>
      </c>
      <c r="H157">
        <v>30</v>
      </c>
      <c r="I157">
        <v>75</v>
      </c>
      <c r="J157" t="str">
        <f>IF(hospital_patient_treatment_dataset[[#This Row],[Treatment Cost]]&gt;75000,"High Cost","Low Cost")</f>
        <v>Low Cost</v>
      </c>
      <c r="K15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58" spans="1:11" x14ac:dyDescent="0.25">
      <c r="A158" t="s">
        <v>183</v>
      </c>
      <c r="B158" t="s">
        <v>15</v>
      </c>
      <c r="C158" t="s">
        <v>28</v>
      </c>
      <c r="D158" t="s">
        <v>23</v>
      </c>
      <c r="E158" t="s">
        <v>18</v>
      </c>
      <c r="F158">
        <v>6</v>
      </c>
      <c r="G158">
        <v>116568.72</v>
      </c>
      <c r="H158">
        <v>24</v>
      </c>
      <c r="I158">
        <v>65</v>
      </c>
      <c r="J158" t="str">
        <f>IF(hospital_patient_treatment_dataset[[#This Row],[Treatment Cost]]&gt;75000,"High Cost","Low Cost")</f>
        <v>High Cost</v>
      </c>
      <c r="K15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59" spans="1:11" x14ac:dyDescent="0.25">
      <c r="A159" t="s">
        <v>184</v>
      </c>
      <c r="B159" t="s">
        <v>25</v>
      </c>
      <c r="C159" t="s">
        <v>16</v>
      </c>
      <c r="D159" t="s">
        <v>32</v>
      </c>
      <c r="E159" t="s">
        <v>18</v>
      </c>
      <c r="F159">
        <v>33</v>
      </c>
      <c r="G159">
        <v>70189.8</v>
      </c>
      <c r="H159">
        <v>14</v>
      </c>
      <c r="I159">
        <v>88</v>
      </c>
      <c r="J159" t="str">
        <f>IF(hospital_patient_treatment_dataset[[#This Row],[Treatment Cost]]&gt;75000,"High Cost","Low Cost")</f>
        <v>Low Cost</v>
      </c>
      <c r="K15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60" spans="1:11" x14ac:dyDescent="0.25">
      <c r="A160" t="s">
        <v>185</v>
      </c>
      <c r="B160" t="s">
        <v>36</v>
      </c>
      <c r="C160" t="s">
        <v>16</v>
      </c>
      <c r="D160" t="s">
        <v>26</v>
      </c>
      <c r="E160" t="s">
        <v>29</v>
      </c>
      <c r="F160">
        <v>28</v>
      </c>
      <c r="G160">
        <v>136392.39000000001</v>
      </c>
      <c r="H160">
        <v>22</v>
      </c>
      <c r="I160">
        <v>77</v>
      </c>
      <c r="J160" t="str">
        <f>IF(hospital_patient_treatment_dataset[[#This Row],[Treatment Cost]]&gt;75000,"High Cost","Low Cost")</f>
        <v>High Cost</v>
      </c>
      <c r="K16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61" spans="1:11" x14ac:dyDescent="0.25">
      <c r="A161" t="s">
        <v>186</v>
      </c>
      <c r="B161" t="s">
        <v>36</v>
      </c>
      <c r="C161" t="s">
        <v>41</v>
      </c>
      <c r="D161" t="s">
        <v>26</v>
      </c>
      <c r="E161" t="s">
        <v>29</v>
      </c>
      <c r="F161">
        <v>56</v>
      </c>
      <c r="G161">
        <v>139281.34</v>
      </c>
      <c r="H161">
        <v>24</v>
      </c>
      <c r="I161">
        <v>96</v>
      </c>
      <c r="J161" t="str">
        <f>IF(hospital_patient_treatment_dataset[[#This Row],[Treatment Cost]]&gt;75000,"High Cost","Low Cost")</f>
        <v>High Cost</v>
      </c>
      <c r="K16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62" spans="1:11" x14ac:dyDescent="0.25">
      <c r="A162" t="s">
        <v>187</v>
      </c>
      <c r="B162" t="s">
        <v>15</v>
      </c>
      <c r="C162" t="s">
        <v>11</v>
      </c>
      <c r="D162" t="s">
        <v>26</v>
      </c>
      <c r="E162" t="s">
        <v>18</v>
      </c>
      <c r="F162">
        <v>80</v>
      </c>
      <c r="G162">
        <v>140818.37</v>
      </c>
      <c r="H162">
        <v>9</v>
      </c>
      <c r="I162">
        <v>42</v>
      </c>
      <c r="J162" t="str">
        <f>IF(hospital_patient_treatment_dataset[[#This Row],[Treatment Cost]]&gt;75000,"High Cost","Low Cost")</f>
        <v>High Cost</v>
      </c>
      <c r="K16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63" spans="1:11" x14ac:dyDescent="0.25">
      <c r="A163" t="s">
        <v>188</v>
      </c>
      <c r="B163" t="s">
        <v>31</v>
      </c>
      <c r="C163" t="s">
        <v>41</v>
      </c>
      <c r="D163" t="s">
        <v>17</v>
      </c>
      <c r="E163" t="s">
        <v>18</v>
      </c>
      <c r="F163">
        <v>74</v>
      </c>
      <c r="G163">
        <v>56018.43</v>
      </c>
      <c r="H163">
        <v>7</v>
      </c>
      <c r="I163">
        <v>77</v>
      </c>
      <c r="J163" t="str">
        <f>IF(hospital_patient_treatment_dataset[[#This Row],[Treatment Cost]]&gt;75000,"High Cost","Low Cost")</f>
        <v>Low Cost</v>
      </c>
      <c r="K16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64" spans="1:11" x14ac:dyDescent="0.25">
      <c r="A164" t="s">
        <v>189</v>
      </c>
      <c r="B164" t="s">
        <v>22</v>
      </c>
      <c r="C164" t="s">
        <v>41</v>
      </c>
      <c r="D164" t="s">
        <v>32</v>
      </c>
      <c r="E164" t="s">
        <v>29</v>
      </c>
      <c r="F164">
        <v>72</v>
      </c>
      <c r="G164">
        <v>144841.74</v>
      </c>
      <c r="H164">
        <v>5</v>
      </c>
      <c r="I164">
        <v>57</v>
      </c>
      <c r="J164" t="str">
        <f>IF(hospital_patient_treatment_dataset[[#This Row],[Treatment Cost]]&gt;75000,"High Cost","Low Cost")</f>
        <v>High Cost</v>
      </c>
      <c r="K16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65" spans="1:11" x14ac:dyDescent="0.25">
      <c r="A165" t="s">
        <v>190</v>
      </c>
      <c r="B165" t="s">
        <v>31</v>
      </c>
      <c r="C165" t="s">
        <v>11</v>
      </c>
      <c r="D165" t="s">
        <v>23</v>
      </c>
      <c r="E165" t="s">
        <v>18</v>
      </c>
      <c r="F165">
        <v>14</v>
      </c>
      <c r="G165">
        <v>123398.79</v>
      </c>
      <c r="H165">
        <v>21</v>
      </c>
      <c r="I165">
        <v>77</v>
      </c>
      <c r="J165" t="str">
        <f>IF(hospital_patient_treatment_dataset[[#This Row],[Treatment Cost]]&gt;75000,"High Cost","Low Cost")</f>
        <v>High Cost</v>
      </c>
      <c r="K16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Teenager</v>
      </c>
    </row>
    <row r="166" spans="1:11" x14ac:dyDescent="0.25">
      <c r="A166" t="s">
        <v>191</v>
      </c>
      <c r="B166" t="s">
        <v>15</v>
      </c>
      <c r="C166" t="s">
        <v>41</v>
      </c>
      <c r="D166" t="s">
        <v>32</v>
      </c>
      <c r="E166" t="s">
        <v>18</v>
      </c>
      <c r="F166">
        <v>48</v>
      </c>
      <c r="G166">
        <v>10911.55</v>
      </c>
      <c r="H166">
        <v>19</v>
      </c>
      <c r="I166">
        <v>47</v>
      </c>
      <c r="J166" t="str">
        <f>IF(hospital_patient_treatment_dataset[[#This Row],[Treatment Cost]]&gt;75000,"High Cost","Low Cost")</f>
        <v>Low Cost</v>
      </c>
      <c r="K16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67" spans="1:11" x14ac:dyDescent="0.25">
      <c r="A167" t="s">
        <v>192</v>
      </c>
      <c r="B167" t="s">
        <v>36</v>
      </c>
      <c r="C167" t="s">
        <v>16</v>
      </c>
      <c r="D167" t="s">
        <v>32</v>
      </c>
      <c r="E167" t="s">
        <v>13</v>
      </c>
      <c r="F167">
        <v>87</v>
      </c>
      <c r="G167">
        <v>96532.96</v>
      </c>
      <c r="H167">
        <v>7</v>
      </c>
      <c r="I167">
        <v>93</v>
      </c>
      <c r="J167" t="str">
        <f>IF(hospital_patient_treatment_dataset[[#This Row],[Treatment Cost]]&gt;75000,"High Cost","Low Cost")</f>
        <v>High Cost</v>
      </c>
      <c r="K16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168" spans="1:11" x14ac:dyDescent="0.25">
      <c r="A168" t="s">
        <v>193</v>
      </c>
      <c r="B168" t="s">
        <v>15</v>
      </c>
      <c r="C168" t="s">
        <v>41</v>
      </c>
      <c r="D168" t="s">
        <v>32</v>
      </c>
      <c r="E168" t="s">
        <v>29</v>
      </c>
      <c r="F168">
        <v>49</v>
      </c>
      <c r="G168">
        <v>126056.09</v>
      </c>
      <c r="H168">
        <v>11</v>
      </c>
      <c r="I168">
        <v>78</v>
      </c>
      <c r="J168" t="str">
        <f>IF(hospital_patient_treatment_dataset[[#This Row],[Treatment Cost]]&gt;75000,"High Cost","Low Cost")</f>
        <v>High Cost</v>
      </c>
      <c r="K16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69" spans="1:11" x14ac:dyDescent="0.25">
      <c r="A169" t="s">
        <v>194</v>
      </c>
      <c r="B169" t="s">
        <v>36</v>
      </c>
      <c r="C169" t="s">
        <v>41</v>
      </c>
      <c r="D169" t="s">
        <v>32</v>
      </c>
      <c r="E169" t="s">
        <v>29</v>
      </c>
      <c r="F169">
        <v>42</v>
      </c>
      <c r="G169">
        <v>92788.13</v>
      </c>
      <c r="H169">
        <v>4</v>
      </c>
      <c r="I169">
        <v>41</v>
      </c>
      <c r="J169" t="str">
        <f>IF(hospital_patient_treatment_dataset[[#This Row],[Treatment Cost]]&gt;75000,"High Cost","Low Cost")</f>
        <v>High Cost</v>
      </c>
      <c r="K16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70" spans="1:11" x14ac:dyDescent="0.25">
      <c r="A170" t="s">
        <v>195</v>
      </c>
      <c r="B170" t="s">
        <v>15</v>
      </c>
      <c r="C170" t="s">
        <v>11</v>
      </c>
      <c r="D170" t="s">
        <v>26</v>
      </c>
      <c r="E170" t="s">
        <v>18</v>
      </c>
      <c r="F170">
        <v>36</v>
      </c>
      <c r="G170">
        <v>24614.639999999999</v>
      </c>
      <c r="H170">
        <v>30</v>
      </c>
      <c r="I170">
        <v>57</v>
      </c>
      <c r="J170" t="str">
        <f>IF(hospital_patient_treatment_dataset[[#This Row],[Treatment Cost]]&gt;75000,"High Cost","Low Cost")</f>
        <v>Low Cost</v>
      </c>
      <c r="K17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71" spans="1:11" x14ac:dyDescent="0.25">
      <c r="A171" t="s">
        <v>196</v>
      </c>
      <c r="B171" t="s">
        <v>31</v>
      </c>
      <c r="C171" t="s">
        <v>11</v>
      </c>
      <c r="D171" t="s">
        <v>12</v>
      </c>
      <c r="E171" t="s">
        <v>29</v>
      </c>
      <c r="F171">
        <v>56</v>
      </c>
      <c r="G171">
        <v>36862.400000000001</v>
      </c>
      <c r="H171">
        <v>28</v>
      </c>
      <c r="I171">
        <v>66</v>
      </c>
      <c r="J171" t="str">
        <f>IF(hospital_patient_treatment_dataset[[#This Row],[Treatment Cost]]&gt;75000,"High Cost","Low Cost")</f>
        <v>Low Cost</v>
      </c>
      <c r="K17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72" spans="1:11" x14ac:dyDescent="0.25">
      <c r="A172" t="s">
        <v>197</v>
      </c>
      <c r="B172" t="s">
        <v>10</v>
      </c>
      <c r="C172" t="s">
        <v>16</v>
      </c>
      <c r="D172" t="s">
        <v>12</v>
      </c>
      <c r="E172" t="s">
        <v>18</v>
      </c>
      <c r="F172">
        <v>39</v>
      </c>
      <c r="G172">
        <v>84065.42</v>
      </c>
      <c r="H172">
        <v>28</v>
      </c>
      <c r="I172">
        <v>50</v>
      </c>
      <c r="J172" t="str">
        <f>IF(hospital_patient_treatment_dataset[[#This Row],[Treatment Cost]]&gt;75000,"High Cost","Low Cost")</f>
        <v>High Cost</v>
      </c>
      <c r="K17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73" spans="1:11" x14ac:dyDescent="0.25">
      <c r="A173" t="s">
        <v>198</v>
      </c>
      <c r="B173" t="s">
        <v>10</v>
      </c>
      <c r="C173" t="s">
        <v>41</v>
      </c>
      <c r="D173" t="s">
        <v>12</v>
      </c>
      <c r="E173" t="s">
        <v>29</v>
      </c>
      <c r="F173">
        <v>42</v>
      </c>
      <c r="G173">
        <v>83047.11</v>
      </c>
      <c r="H173">
        <v>13</v>
      </c>
      <c r="I173">
        <v>50</v>
      </c>
      <c r="J173" t="str">
        <f>IF(hospital_patient_treatment_dataset[[#This Row],[Treatment Cost]]&gt;75000,"High Cost","Low Cost")</f>
        <v>High Cost</v>
      </c>
      <c r="K17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74" spans="1:11" x14ac:dyDescent="0.25">
      <c r="A174" t="s">
        <v>199</v>
      </c>
      <c r="B174" t="s">
        <v>10</v>
      </c>
      <c r="C174" t="s">
        <v>11</v>
      </c>
      <c r="D174" t="s">
        <v>26</v>
      </c>
      <c r="E174" t="s">
        <v>29</v>
      </c>
      <c r="F174">
        <v>59</v>
      </c>
      <c r="G174">
        <v>96326.11</v>
      </c>
      <c r="H174">
        <v>17</v>
      </c>
      <c r="I174">
        <v>82</v>
      </c>
      <c r="J174" t="str">
        <f>IF(hospital_patient_treatment_dataset[[#This Row],[Treatment Cost]]&gt;75000,"High Cost","Low Cost")</f>
        <v>High Cost</v>
      </c>
      <c r="K17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75" spans="1:11" x14ac:dyDescent="0.25">
      <c r="A175" t="s">
        <v>200</v>
      </c>
      <c r="B175" t="s">
        <v>36</v>
      </c>
      <c r="C175" t="s">
        <v>41</v>
      </c>
      <c r="D175" t="s">
        <v>12</v>
      </c>
      <c r="E175" t="s">
        <v>18</v>
      </c>
      <c r="F175">
        <v>67</v>
      </c>
      <c r="G175">
        <v>49487.73</v>
      </c>
      <c r="H175">
        <v>27</v>
      </c>
      <c r="I175">
        <v>72</v>
      </c>
      <c r="J175" t="str">
        <f>IF(hospital_patient_treatment_dataset[[#This Row],[Treatment Cost]]&gt;75000,"High Cost","Low Cost")</f>
        <v>Low Cost</v>
      </c>
      <c r="K17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76" spans="1:11" x14ac:dyDescent="0.25">
      <c r="A176" t="s">
        <v>201</v>
      </c>
      <c r="B176" t="s">
        <v>10</v>
      </c>
      <c r="C176" t="s">
        <v>41</v>
      </c>
      <c r="D176" t="s">
        <v>17</v>
      </c>
      <c r="E176" t="s">
        <v>18</v>
      </c>
      <c r="F176">
        <v>11</v>
      </c>
      <c r="G176">
        <v>18263.25</v>
      </c>
      <c r="H176">
        <v>29</v>
      </c>
      <c r="I176">
        <v>83</v>
      </c>
      <c r="J176" t="str">
        <f>IF(hospital_patient_treatment_dataset[[#This Row],[Treatment Cost]]&gt;75000,"High Cost","Low Cost")</f>
        <v>Low Cost</v>
      </c>
      <c r="K17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77" spans="1:11" x14ac:dyDescent="0.25">
      <c r="A177" t="s">
        <v>202</v>
      </c>
      <c r="B177" t="s">
        <v>31</v>
      </c>
      <c r="C177" t="s">
        <v>28</v>
      </c>
      <c r="D177" t="s">
        <v>12</v>
      </c>
      <c r="E177" t="s">
        <v>13</v>
      </c>
      <c r="F177">
        <v>3</v>
      </c>
      <c r="G177">
        <v>149013.84</v>
      </c>
      <c r="H177">
        <v>26</v>
      </c>
      <c r="I177">
        <v>93</v>
      </c>
      <c r="J177" t="str">
        <f>IF(hospital_patient_treatment_dataset[[#This Row],[Treatment Cost]]&gt;75000,"High Cost","Low Cost")</f>
        <v>High Cost</v>
      </c>
      <c r="K17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78" spans="1:11" x14ac:dyDescent="0.25">
      <c r="A178" t="s">
        <v>203</v>
      </c>
      <c r="B178" t="s">
        <v>22</v>
      </c>
      <c r="C178" t="s">
        <v>16</v>
      </c>
      <c r="D178" t="s">
        <v>26</v>
      </c>
      <c r="E178" t="s">
        <v>29</v>
      </c>
      <c r="F178">
        <v>69</v>
      </c>
      <c r="G178">
        <v>46708.35</v>
      </c>
      <c r="H178">
        <v>1</v>
      </c>
      <c r="I178">
        <v>88</v>
      </c>
      <c r="J178" t="str">
        <f>IF(hospital_patient_treatment_dataset[[#This Row],[Treatment Cost]]&gt;75000,"High Cost","Low Cost")</f>
        <v>Low Cost</v>
      </c>
      <c r="K17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79" spans="1:11" x14ac:dyDescent="0.25">
      <c r="A179" t="s">
        <v>204</v>
      </c>
      <c r="B179" t="s">
        <v>25</v>
      </c>
      <c r="C179" t="s">
        <v>11</v>
      </c>
      <c r="D179" t="s">
        <v>17</v>
      </c>
      <c r="E179" t="s">
        <v>18</v>
      </c>
      <c r="F179">
        <v>54</v>
      </c>
      <c r="G179">
        <v>68133.7</v>
      </c>
      <c r="H179">
        <v>9</v>
      </c>
      <c r="I179">
        <v>60</v>
      </c>
      <c r="J179" t="str">
        <f>IF(hospital_patient_treatment_dataset[[#This Row],[Treatment Cost]]&gt;75000,"High Cost","Low Cost")</f>
        <v>Low Cost</v>
      </c>
      <c r="K17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80" spans="1:11" x14ac:dyDescent="0.25">
      <c r="A180" t="s">
        <v>205</v>
      </c>
      <c r="B180" t="s">
        <v>36</v>
      </c>
      <c r="C180" t="s">
        <v>28</v>
      </c>
      <c r="D180" t="s">
        <v>12</v>
      </c>
      <c r="E180" t="s">
        <v>18</v>
      </c>
      <c r="F180">
        <v>82</v>
      </c>
      <c r="G180">
        <v>19213.509999999998</v>
      </c>
      <c r="H180">
        <v>26</v>
      </c>
      <c r="I180">
        <v>96</v>
      </c>
      <c r="J180" t="str">
        <f>IF(hospital_patient_treatment_dataset[[#This Row],[Treatment Cost]]&gt;75000,"High Cost","Low Cost")</f>
        <v>Low Cost</v>
      </c>
      <c r="K18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81" spans="1:11" x14ac:dyDescent="0.25">
      <c r="A181" t="s">
        <v>206</v>
      </c>
      <c r="B181" t="s">
        <v>25</v>
      </c>
      <c r="C181" t="s">
        <v>41</v>
      </c>
      <c r="D181" t="s">
        <v>26</v>
      </c>
      <c r="E181" t="s">
        <v>18</v>
      </c>
      <c r="F181">
        <v>60</v>
      </c>
      <c r="G181">
        <v>22138.22</v>
      </c>
      <c r="H181">
        <v>3</v>
      </c>
      <c r="I181">
        <v>96</v>
      </c>
      <c r="J181" t="str">
        <f>IF(hospital_patient_treatment_dataset[[#This Row],[Treatment Cost]]&gt;75000,"High Cost","Low Cost")</f>
        <v>Low Cost</v>
      </c>
      <c r="K18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82" spans="1:11" x14ac:dyDescent="0.25">
      <c r="A182" t="s">
        <v>207</v>
      </c>
      <c r="B182" t="s">
        <v>22</v>
      </c>
      <c r="C182" t="s">
        <v>16</v>
      </c>
      <c r="D182" t="s">
        <v>17</v>
      </c>
      <c r="E182" t="s">
        <v>18</v>
      </c>
      <c r="F182">
        <v>65</v>
      </c>
      <c r="G182">
        <v>30460.26</v>
      </c>
      <c r="H182">
        <v>21</v>
      </c>
      <c r="I182">
        <v>63</v>
      </c>
      <c r="J182" t="str">
        <f>IF(hospital_patient_treatment_dataset[[#This Row],[Treatment Cost]]&gt;75000,"High Cost","Low Cost")</f>
        <v>Low Cost</v>
      </c>
      <c r="K18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83" spans="1:11" x14ac:dyDescent="0.25">
      <c r="A183" t="s">
        <v>208</v>
      </c>
      <c r="B183" t="s">
        <v>15</v>
      </c>
      <c r="C183" t="s">
        <v>28</v>
      </c>
      <c r="D183" t="s">
        <v>23</v>
      </c>
      <c r="E183" t="s">
        <v>18</v>
      </c>
      <c r="F183">
        <v>5</v>
      </c>
      <c r="G183">
        <v>52772.62</v>
      </c>
      <c r="H183">
        <v>9</v>
      </c>
      <c r="I183">
        <v>62</v>
      </c>
      <c r="J183" t="str">
        <f>IF(hospital_patient_treatment_dataset[[#This Row],[Treatment Cost]]&gt;75000,"High Cost","Low Cost")</f>
        <v>Low Cost</v>
      </c>
      <c r="K18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84" spans="1:11" x14ac:dyDescent="0.25">
      <c r="A184" t="s">
        <v>209</v>
      </c>
      <c r="B184" t="s">
        <v>22</v>
      </c>
      <c r="C184" t="s">
        <v>28</v>
      </c>
      <c r="D184" t="s">
        <v>17</v>
      </c>
      <c r="E184" t="s">
        <v>18</v>
      </c>
      <c r="F184">
        <v>54</v>
      </c>
      <c r="G184">
        <v>118241.71</v>
      </c>
      <c r="H184">
        <v>24</v>
      </c>
      <c r="I184">
        <v>81</v>
      </c>
      <c r="J184" t="str">
        <f>IF(hospital_patient_treatment_dataset[[#This Row],[Treatment Cost]]&gt;75000,"High Cost","Low Cost")</f>
        <v>High Cost</v>
      </c>
      <c r="K18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85" spans="1:11" x14ac:dyDescent="0.25">
      <c r="A185" t="s">
        <v>210</v>
      </c>
      <c r="B185" t="s">
        <v>10</v>
      </c>
      <c r="C185" t="s">
        <v>16</v>
      </c>
      <c r="D185" t="s">
        <v>32</v>
      </c>
      <c r="E185" t="s">
        <v>18</v>
      </c>
      <c r="F185">
        <v>64</v>
      </c>
      <c r="G185">
        <v>19477.689999999999</v>
      </c>
      <c r="H185">
        <v>6</v>
      </c>
      <c r="I185">
        <v>65</v>
      </c>
      <c r="J185" t="str">
        <f>IF(hospital_patient_treatment_dataset[[#This Row],[Treatment Cost]]&gt;75000,"High Cost","Low Cost")</f>
        <v>Low Cost</v>
      </c>
      <c r="K18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86" spans="1:11" x14ac:dyDescent="0.25">
      <c r="A186" t="s">
        <v>211</v>
      </c>
      <c r="B186" t="s">
        <v>36</v>
      </c>
      <c r="C186" t="s">
        <v>28</v>
      </c>
      <c r="D186" t="s">
        <v>23</v>
      </c>
      <c r="E186" t="s">
        <v>13</v>
      </c>
      <c r="F186">
        <v>77</v>
      </c>
      <c r="G186">
        <v>114541.22</v>
      </c>
      <c r="H186">
        <v>25</v>
      </c>
      <c r="I186">
        <v>69</v>
      </c>
      <c r="J186" t="str">
        <f>IF(hospital_patient_treatment_dataset[[#This Row],[Treatment Cost]]&gt;75000,"High Cost","Low Cost")</f>
        <v>High Cost</v>
      </c>
      <c r="K18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v>
      </c>
    </row>
    <row r="187" spans="1:11" x14ac:dyDescent="0.25">
      <c r="A187" t="s">
        <v>212</v>
      </c>
      <c r="B187" t="s">
        <v>36</v>
      </c>
      <c r="C187" t="s">
        <v>11</v>
      </c>
      <c r="D187" t="s">
        <v>26</v>
      </c>
      <c r="E187" t="s">
        <v>13</v>
      </c>
      <c r="F187">
        <v>72</v>
      </c>
      <c r="G187">
        <v>56437.97</v>
      </c>
      <c r="H187">
        <v>21</v>
      </c>
      <c r="I187">
        <v>78</v>
      </c>
      <c r="J187" t="str">
        <f>IF(hospital_patient_treatment_dataset[[#This Row],[Treatment Cost]]&gt;75000,"High Cost","Low Cost")</f>
        <v>Low Cost</v>
      </c>
      <c r="K18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88" spans="1:11" x14ac:dyDescent="0.25">
      <c r="A188" t="s">
        <v>213</v>
      </c>
      <c r="B188" t="s">
        <v>31</v>
      </c>
      <c r="C188" t="s">
        <v>16</v>
      </c>
      <c r="D188" t="s">
        <v>17</v>
      </c>
      <c r="E188" t="s">
        <v>18</v>
      </c>
      <c r="F188">
        <v>86</v>
      </c>
      <c r="G188">
        <v>53586.34</v>
      </c>
      <c r="H188">
        <v>22</v>
      </c>
      <c r="I188">
        <v>96</v>
      </c>
      <c r="J188" t="str">
        <f>IF(hospital_patient_treatment_dataset[[#This Row],[Treatment Cost]]&gt;75000,"High Cost","Low Cost")</f>
        <v>Low Cost</v>
      </c>
      <c r="K18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189" spans="1:11" x14ac:dyDescent="0.25">
      <c r="A189" t="s">
        <v>214</v>
      </c>
      <c r="B189" t="s">
        <v>10</v>
      </c>
      <c r="C189" t="s">
        <v>41</v>
      </c>
      <c r="D189" t="s">
        <v>17</v>
      </c>
      <c r="E189" t="s">
        <v>13</v>
      </c>
      <c r="F189">
        <v>62</v>
      </c>
      <c r="G189">
        <v>13836.03</v>
      </c>
      <c r="H189">
        <v>15</v>
      </c>
      <c r="I189">
        <v>60</v>
      </c>
      <c r="J189" t="str">
        <f>IF(hospital_patient_treatment_dataset[[#This Row],[Treatment Cost]]&gt;75000,"High Cost","Low Cost")</f>
        <v>Low Cost</v>
      </c>
      <c r="K18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90" spans="1:11" x14ac:dyDescent="0.25">
      <c r="A190" t="s">
        <v>215</v>
      </c>
      <c r="B190" t="s">
        <v>15</v>
      </c>
      <c r="C190" t="s">
        <v>28</v>
      </c>
      <c r="D190" t="s">
        <v>23</v>
      </c>
      <c r="E190" t="s">
        <v>18</v>
      </c>
      <c r="F190">
        <v>38</v>
      </c>
      <c r="G190">
        <v>54960.36</v>
      </c>
      <c r="H190">
        <v>26</v>
      </c>
      <c r="I190">
        <v>61</v>
      </c>
      <c r="J190" t="str">
        <f>IF(hospital_patient_treatment_dataset[[#This Row],[Treatment Cost]]&gt;75000,"High Cost","Low Cost")</f>
        <v>Low Cost</v>
      </c>
      <c r="K19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91" spans="1:11" x14ac:dyDescent="0.25">
      <c r="A191" t="s">
        <v>216</v>
      </c>
      <c r="B191" t="s">
        <v>15</v>
      </c>
      <c r="C191" t="s">
        <v>16</v>
      </c>
      <c r="D191" t="s">
        <v>32</v>
      </c>
      <c r="E191" t="s">
        <v>13</v>
      </c>
      <c r="F191">
        <v>70</v>
      </c>
      <c r="G191">
        <v>92629.07</v>
      </c>
      <c r="H191">
        <v>11</v>
      </c>
      <c r="I191">
        <v>96</v>
      </c>
      <c r="J191" t="str">
        <f>IF(hospital_patient_treatment_dataset[[#This Row],[Treatment Cost]]&gt;75000,"High Cost","Low Cost")</f>
        <v>High Cost</v>
      </c>
      <c r="K19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92" spans="1:11" x14ac:dyDescent="0.25">
      <c r="A192" t="s">
        <v>217</v>
      </c>
      <c r="B192" t="s">
        <v>25</v>
      </c>
      <c r="C192" t="s">
        <v>41</v>
      </c>
      <c r="D192" t="s">
        <v>32</v>
      </c>
      <c r="E192" t="s">
        <v>29</v>
      </c>
      <c r="F192">
        <v>52</v>
      </c>
      <c r="G192">
        <v>69945.08</v>
      </c>
      <c r="H192">
        <v>8</v>
      </c>
      <c r="I192">
        <v>80</v>
      </c>
      <c r="J192" t="str">
        <f>IF(hospital_patient_treatment_dataset[[#This Row],[Treatment Cost]]&gt;75000,"High Cost","Low Cost")</f>
        <v>Low Cost</v>
      </c>
      <c r="K192"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Middle-Aged</v>
      </c>
    </row>
    <row r="193" spans="1:11" x14ac:dyDescent="0.25">
      <c r="A193" t="s">
        <v>218</v>
      </c>
      <c r="B193" t="s">
        <v>22</v>
      </c>
      <c r="C193" t="s">
        <v>16</v>
      </c>
      <c r="D193" t="s">
        <v>12</v>
      </c>
      <c r="E193" t="s">
        <v>13</v>
      </c>
      <c r="F193">
        <v>62</v>
      </c>
      <c r="G193">
        <v>132120.79</v>
      </c>
      <c r="H193">
        <v>25</v>
      </c>
      <c r="I193">
        <v>81</v>
      </c>
      <c r="J193" t="str">
        <f>IF(hospital_patient_treatment_dataset[[#This Row],[Treatment Cost]]&gt;75000,"High Cost","Low Cost")</f>
        <v>High Cost</v>
      </c>
      <c r="K193"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94" spans="1:11" x14ac:dyDescent="0.25">
      <c r="A194" t="s">
        <v>219</v>
      </c>
      <c r="B194" t="s">
        <v>22</v>
      </c>
      <c r="C194" t="s">
        <v>16</v>
      </c>
      <c r="D194" t="s">
        <v>26</v>
      </c>
      <c r="E194" t="s">
        <v>18</v>
      </c>
      <c r="F194">
        <v>22</v>
      </c>
      <c r="G194">
        <v>132726.88</v>
      </c>
      <c r="H194">
        <v>24</v>
      </c>
      <c r="I194">
        <v>54</v>
      </c>
      <c r="J194" t="str">
        <f>IF(hospital_patient_treatment_dataset[[#This Row],[Treatment Cost]]&gt;75000,"High Cost","Low Cost")</f>
        <v>High Cost</v>
      </c>
      <c r="K194"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195" spans="1:11" x14ac:dyDescent="0.25">
      <c r="A195" t="s">
        <v>220</v>
      </c>
      <c r="B195" t="s">
        <v>10</v>
      </c>
      <c r="C195" t="s">
        <v>16</v>
      </c>
      <c r="D195" t="s">
        <v>17</v>
      </c>
      <c r="E195" t="s">
        <v>29</v>
      </c>
      <c r="F195">
        <v>70</v>
      </c>
      <c r="G195">
        <v>40806.769999999997</v>
      </c>
      <c r="H195">
        <v>1</v>
      </c>
      <c r="I195">
        <v>51</v>
      </c>
      <c r="J195" t="str">
        <f>IF(hospital_patient_treatment_dataset[[#This Row],[Treatment Cost]]&gt;75000,"High Cost","Low Cost")</f>
        <v>Low Cost</v>
      </c>
      <c r="K195"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Junior Elderly</v>
      </c>
    </row>
    <row r="196" spans="1:11" x14ac:dyDescent="0.25">
      <c r="A196" t="s">
        <v>221</v>
      </c>
      <c r="B196" t="s">
        <v>25</v>
      </c>
      <c r="C196" t="s">
        <v>41</v>
      </c>
      <c r="D196" t="s">
        <v>32</v>
      </c>
      <c r="E196" t="s">
        <v>13</v>
      </c>
      <c r="F196">
        <v>33</v>
      </c>
      <c r="G196">
        <v>56926.38</v>
      </c>
      <c r="H196">
        <v>11</v>
      </c>
      <c r="I196">
        <v>81</v>
      </c>
      <c r="J196" t="str">
        <f>IF(hospital_patient_treatment_dataset[[#This Row],[Treatment Cost]]&gt;75000,"High Cost","Low Cost")</f>
        <v>Low Cost</v>
      </c>
      <c r="K196"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row r="197" spans="1:11" x14ac:dyDescent="0.25">
      <c r="A197" t="s">
        <v>222</v>
      </c>
      <c r="B197" t="s">
        <v>22</v>
      </c>
      <c r="C197" t="s">
        <v>16</v>
      </c>
      <c r="D197" t="s">
        <v>32</v>
      </c>
      <c r="E197" t="s">
        <v>29</v>
      </c>
      <c r="F197">
        <v>1</v>
      </c>
      <c r="G197">
        <v>87386.12</v>
      </c>
      <c r="H197">
        <v>14</v>
      </c>
      <c r="I197">
        <v>63</v>
      </c>
      <c r="J197" t="str">
        <f>IF(hospital_patient_treatment_dataset[[#This Row],[Treatment Cost]]&gt;75000,"High Cost","Low Cost")</f>
        <v>High Cost</v>
      </c>
      <c r="K197"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Infant</v>
      </c>
    </row>
    <row r="198" spans="1:11" x14ac:dyDescent="0.25">
      <c r="A198" t="s">
        <v>223</v>
      </c>
      <c r="B198" t="s">
        <v>22</v>
      </c>
      <c r="C198" t="s">
        <v>28</v>
      </c>
      <c r="D198" t="s">
        <v>12</v>
      </c>
      <c r="E198" t="s">
        <v>13</v>
      </c>
      <c r="F198">
        <v>8</v>
      </c>
      <c r="G198">
        <v>7805.22</v>
      </c>
      <c r="H198">
        <v>13</v>
      </c>
      <c r="I198">
        <v>91</v>
      </c>
      <c r="J198" t="str">
        <f>IF(hospital_patient_treatment_dataset[[#This Row],[Treatment Cost]]&gt;75000,"High Cost","Low Cost")</f>
        <v>Low Cost</v>
      </c>
      <c r="K198"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Child</v>
      </c>
    </row>
    <row r="199" spans="1:11" x14ac:dyDescent="0.25">
      <c r="A199" t="s">
        <v>224</v>
      </c>
      <c r="B199" t="s">
        <v>22</v>
      </c>
      <c r="C199" t="s">
        <v>11</v>
      </c>
      <c r="D199" t="s">
        <v>17</v>
      </c>
      <c r="E199" t="s">
        <v>18</v>
      </c>
      <c r="F199">
        <v>90</v>
      </c>
      <c r="G199">
        <v>64936.83</v>
      </c>
      <c r="H199">
        <v>23</v>
      </c>
      <c r="I199">
        <v>51</v>
      </c>
      <c r="J199" t="str">
        <f>IF(hospital_patient_treatment_dataset[[#This Row],[Treatment Cost]]&gt;75000,"High Cost","Low Cost")</f>
        <v>Low Cost</v>
      </c>
      <c r="K199"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Oldest</v>
      </c>
    </row>
    <row r="200" spans="1:11" x14ac:dyDescent="0.25">
      <c r="A200" t="s">
        <v>225</v>
      </c>
      <c r="B200" t="s">
        <v>36</v>
      </c>
      <c r="C200" t="s">
        <v>41</v>
      </c>
      <c r="D200" t="s">
        <v>32</v>
      </c>
      <c r="E200" t="s">
        <v>13</v>
      </c>
      <c r="F200">
        <v>21</v>
      </c>
      <c r="G200">
        <v>57025.03</v>
      </c>
      <c r="H200">
        <v>18</v>
      </c>
      <c r="I200">
        <v>50</v>
      </c>
      <c r="J200" t="str">
        <f>IF(hospital_patient_treatment_dataset[[#This Row],[Treatment Cost]]&gt;75000,"High Cost","Low Cost")</f>
        <v>Low Cost</v>
      </c>
      <c r="K200"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Young Adult</v>
      </c>
    </row>
    <row r="201" spans="1:11" x14ac:dyDescent="0.25">
      <c r="A201" t="s">
        <v>226</v>
      </c>
      <c r="B201" t="s">
        <v>36</v>
      </c>
      <c r="C201" t="s">
        <v>41</v>
      </c>
      <c r="D201" t="s">
        <v>23</v>
      </c>
      <c r="E201" t="s">
        <v>13</v>
      </c>
      <c r="F201">
        <v>39</v>
      </c>
      <c r="G201">
        <v>145631.91</v>
      </c>
      <c r="H201">
        <v>6</v>
      </c>
      <c r="I201">
        <v>49</v>
      </c>
      <c r="J201" t="str">
        <f>IF(hospital_patient_treatment_dataset[[#This Row],[Treatment Cost]]&gt;75000,"High Cost","Low Cost")</f>
        <v>High Cost</v>
      </c>
      <c r="K201" t="str">
        <f>IF(hospital_patient_treatment_dataset[[#This Row],[Age]]&lt;=5,"Infant",IF(hospital_patient_treatment_dataset[[#This Row],[Age]]&lt;=12,"Child",IF(hospital_patient_treatment_dataset[[#This Row],[Age]]&lt;=19,"Teenager",IF(hospital_patient_treatment_dataset[[#This Row],[Age]]&lt;=29,"Young Adult",IF(hospital_patient_treatment_dataset[[#This Row],[Age]]&lt;=44,"Adult",IF(hospital_patient_treatment_dataset[[#This Row],[Age]]&lt;=59,"Middle-Aged",IF(hospital_patient_treatment_dataset[[#This Row],[Age]]&lt;=74,"Junior Elderly",IF(hospital_patient_treatment_dataset[[#This Row],[Age]]&lt;=84,"Old",IF(hospital_patient_treatment_dataset[[#This Row],[Age]]&lt;=99,"Oldest",0)))))))))</f>
        <v>Adult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2EB7-1283-413F-A8E7-C47205B4D392}">
  <sheetPr>
    <tabColor rgb="FF002060"/>
  </sheetPr>
  <dimension ref="A1:L108"/>
  <sheetViews>
    <sheetView topLeftCell="A76" workbookViewId="0">
      <selection activeCell="J50" sqref="J50"/>
    </sheetView>
  </sheetViews>
  <sheetFormatPr defaultRowHeight="15" x14ac:dyDescent="0.25"/>
  <cols>
    <col min="1" max="1" width="5" bestFit="1" customWidth="1"/>
    <col min="2" max="2" width="13.42578125" bestFit="1" customWidth="1"/>
    <col min="3" max="3" width="18.85546875" bestFit="1" customWidth="1"/>
    <col min="4" max="4" width="19" bestFit="1" customWidth="1"/>
    <col min="5" max="5" width="22.42578125" bestFit="1" customWidth="1"/>
    <col min="6" max="6" width="25.28515625" bestFit="1" customWidth="1"/>
    <col min="7" max="7" width="22.140625" bestFit="1" customWidth="1"/>
  </cols>
  <sheetData>
    <row r="1" spans="1:11" ht="15.75" thickBot="1" x14ac:dyDescent="0.3"/>
    <row r="2" spans="1:11" ht="15.75" thickBot="1" x14ac:dyDescent="0.3">
      <c r="A2" s="1" t="s">
        <v>232</v>
      </c>
      <c r="B2" s="2"/>
      <c r="C2" s="2"/>
      <c r="D2" s="2"/>
      <c r="E2" s="2"/>
      <c r="F2" s="2"/>
      <c r="G2" s="2"/>
      <c r="H2" s="2"/>
      <c r="I2" s="2"/>
      <c r="J2" s="2"/>
      <c r="K2" s="3"/>
    </row>
    <row r="3" spans="1:11" x14ac:dyDescent="0.25">
      <c r="A3" s="4"/>
      <c r="B3" s="28" t="s">
        <v>227</v>
      </c>
      <c r="C3" s="2" t="s">
        <v>228</v>
      </c>
      <c r="D3" s="2" t="s">
        <v>230</v>
      </c>
      <c r="E3" s="2" t="s">
        <v>229</v>
      </c>
      <c r="F3" s="3" t="s">
        <v>231</v>
      </c>
      <c r="K3" s="5"/>
    </row>
    <row r="4" spans="1:11" ht="15.75" thickBot="1" x14ac:dyDescent="0.3">
      <c r="A4" s="4"/>
      <c r="B4" s="7">
        <v>200</v>
      </c>
      <c r="C4" s="29">
        <v>79698.513500000015</v>
      </c>
      <c r="D4" s="12">
        <v>41.71</v>
      </c>
      <c r="E4" s="12">
        <v>16.015000000000001</v>
      </c>
      <c r="F4" s="13">
        <v>70.375</v>
      </c>
      <c r="K4" s="5"/>
    </row>
    <row r="5" spans="1:11" ht="15.75" thickBot="1" x14ac:dyDescent="0.3">
      <c r="A5" s="4"/>
      <c r="B5">
        <f>GETPIVOTDATA("Patient Count ",$B$3)</f>
        <v>200</v>
      </c>
      <c r="C5" s="29">
        <f>GETPIVOTDATA("Average of Treatment Cost",$B$3)</f>
        <v>79698.513500000015</v>
      </c>
      <c r="D5" s="6">
        <f>GETPIVOTDATA("Average of Age",$B$3)</f>
        <v>41.71</v>
      </c>
      <c r="E5" s="6">
        <f>GETPIVOTDATA("Average of Hospital Stay (Days)",$B$3)</f>
        <v>16.015000000000001</v>
      </c>
      <c r="F5" s="6">
        <f>GETPIVOTDATA("Average of Recovery Score",$B$3)</f>
        <v>70.375</v>
      </c>
      <c r="K5" s="5"/>
    </row>
    <row r="6" spans="1:11" x14ac:dyDescent="0.25">
      <c r="A6" s="4"/>
      <c r="C6" s="6"/>
      <c r="K6" s="5"/>
    </row>
    <row r="7" spans="1:11" x14ac:dyDescent="0.25">
      <c r="A7" s="4"/>
      <c r="K7" s="5"/>
    </row>
    <row r="8" spans="1:11" x14ac:dyDescent="0.25">
      <c r="A8" s="4"/>
      <c r="K8" s="5"/>
    </row>
    <row r="9" spans="1:11" x14ac:dyDescent="0.25">
      <c r="A9" s="4"/>
      <c r="K9" s="5"/>
    </row>
    <row r="10" spans="1:11" x14ac:dyDescent="0.25">
      <c r="A10" s="4"/>
      <c r="K10" s="5"/>
    </row>
    <row r="11" spans="1:11" x14ac:dyDescent="0.25">
      <c r="A11" s="4"/>
      <c r="K11" s="5"/>
    </row>
    <row r="12" spans="1:11" x14ac:dyDescent="0.25">
      <c r="A12" s="4"/>
      <c r="K12" s="5"/>
    </row>
    <row r="13" spans="1:11" x14ac:dyDescent="0.25">
      <c r="A13" s="4"/>
      <c r="K13" s="5"/>
    </row>
    <row r="14" spans="1:11" x14ac:dyDescent="0.25">
      <c r="A14" s="4"/>
      <c r="K14" s="5"/>
    </row>
    <row r="15" spans="1:11" x14ac:dyDescent="0.25">
      <c r="A15" s="4"/>
      <c r="K15" s="5"/>
    </row>
    <row r="16" spans="1:11" x14ac:dyDescent="0.25">
      <c r="A16" s="4"/>
      <c r="K16" s="5"/>
    </row>
    <row r="17" spans="1:12" x14ac:dyDescent="0.25">
      <c r="A17" s="4"/>
      <c r="K17" s="5"/>
    </row>
    <row r="18" spans="1:12" x14ac:dyDescent="0.25">
      <c r="A18" s="4"/>
      <c r="K18" s="5"/>
    </row>
    <row r="19" spans="1:12" ht="15.75" thickBot="1" x14ac:dyDescent="0.3">
      <c r="A19" s="7"/>
      <c r="B19" s="8"/>
      <c r="C19" s="8"/>
      <c r="D19" s="8"/>
      <c r="E19" s="8"/>
      <c r="F19" s="8"/>
      <c r="G19" s="8"/>
      <c r="H19" s="8"/>
      <c r="I19" s="8"/>
      <c r="J19" s="8"/>
      <c r="K19" s="9"/>
    </row>
    <row r="20" spans="1:12" ht="15.75" thickBot="1" x14ac:dyDescent="0.3"/>
    <row r="21" spans="1:12" ht="15.75" thickBot="1" x14ac:dyDescent="0.3">
      <c r="A21" s="1" t="s">
        <v>232</v>
      </c>
      <c r="B21" s="2"/>
      <c r="C21" s="2"/>
      <c r="D21" s="2"/>
      <c r="E21" s="2"/>
      <c r="F21" s="2"/>
      <c r="G21" s="2"/>
      <c r="H21" s="2"/>
      <c r="I21" s="2"/>
      <c r="J21" s="2"/>
      <c r="K21" s="2"/>
      <c r="L21" s="3"/>
    </row>
    <row r="22" spans="1:12" ht="15.75" thickBot="1" x14ac:dyDescent="0.3">
      <c r="A22" s="4"/>
      <c r="B22" s="19" t="s">
        <v>236</v>
      </c>
      <c r="C22" s="23" t="s">
        <v>233</v>
      </c>
      <c r="D22" s="24" t="s">
        <v>234</v>
      </c>
      <c r="E22" s="25" t="s">
        <v>235</v>
      </c>
      <c r="L22" s="5"/>
    </row>
    <row r="23" spans="1:12" x14ac:dyDescent="0.25">
      <c r="A23" s="4"/>
      <c r="B23" s="20" t="s">
        <v>25</v>
      </c>
      <c r="C23" s="14">
        <v>70.5</v>
      </c>
      <c r="D23" s="15">
        <v>41</v>
      </c>
      <c r="E23" s="16">
        <v>19.571496576932219</v>
      </c>
      <c r="L23" s="5"/>
    </row>
    <row r="24" spans="1:12" x14ac:dyDescent="0.25">
      <c r="A24" s="4"/>
      <c r="B24" s="21" t="s">
        <v>10</v>
      </c>
      <c r="C24" s="17">
        <v>71.804878048780495</v>
      </c>
      <c r="D24" s="6">
        <v>40</v>
      </c>
      <c r="E24" s="11">
        <v>16.895590419093264</v>
      </c>
      <c r="L24" s="5"/>
    </row>
    <row r="25" spans="1:12" x14ac:dyDescent="0.25">
      <c r="A25" s="4"/>
      <c r="B25" s="21" t="s">
        <v>31</v>
      </c>
      <c r="C25" s="17">
        <v>66.392857142857139</v>
      </c>
      <c r="D25" s="6">
        <v>40</v>
      </c>
      <c r="E25" s="11">
        <v>19.085265376655212</v>
      </c>
      <c r="L25" s="5"/>
    </row>
    <row r="26" spans="1:12" x14ac:dyDescent="0.25">
      <c r="A26" s="4"/>
      <c r="B26" s="21" t="s">
        <v>36</v>
      </c>
      <c r="C26" s="17">
        <v>72.41935483870968</v>
      </c>
      <c r="D26" s="6">
        <v>41</v>
      </c>
      <c r="E26" s="11">
        <v>17.819042610923095</v>
      </c>
      <c r="L26" s="5"/>
    </row>
    <row r="27" spans="1:12" x14ac:dyDescent="0.25">
      <c r="A27" s="4"/>
      <c r="B27" s="21" t="s">
        <v>22</v>
      </c>
      <c r="C27" s="17">
        <v>67.263157894736835</v>
      </c>
      <c r="D27" s="6">
        <v>40</v>
      </c>
      <c r="E27" s="11">
        <v>16.439379567641545</v>
      </c>
      <c r="L27" s="5"/>
    </row>
    <row r="28" spans="1:12" ht="15.75" thickBot="1" x14ac:dyDescent="0.3">
      <c r="A28" s="4"/>
      <c r="B28" s="22" t="s">
        <v>15</v>
      </c>
      <c r="C28" s="18">
        <v>73.131578947368425</v>
      </c>
      <c r="D28" s="12">
        <v>42</v>
      </c>
      <c r="E28" s="13">
        <v>17.727930402572756</v>
      </c>
      <c r="L28" s="5"/>
    </row>
    <row r="29" spans="1:12" x14ac:dyDescent="0.25">
      <c r="A29" s="4"/>
      <c r="L29" s="5"/>
    </row>
    <row r="30" spans="1:12" x14ac:dyDescent="0.25">
      <c r="A30" s="4"/>
      <c r="L30" s="5"/>
    </row>
    <row r="31" spans="1:12" x14ac:dyDescent="0.25">
      <c r="A31" s="4"/>
      <c r="L31" s="5"/>
    </row>
    <row r="32" spans="1:12" x14ac:dyDescent="0.25">
      <c r="A32" s="4"/>
      <c r="L32" s="5"/>
    </row>
    <row r="33" spans="1:12" x14ac:dyDescent="0.25">
      <c r="A33" s="4"/>
      <c r="L33" s="5"/>
    </row>
    <row r="34" spans="1:12" x14ac:dyDescent="0.25">
      <c r="A34" s="4"/>
      <c r="L34" s="5"/>
    </row>
    <row r="35" spans="1:12" ht="15.75" thickBot="1" x14ac:dyDescent="0.3">
      <c r="A35" s="7"/>
      <c r="B35" s="8"/>
      <c r="C35" s="8"/>
      <c r="D35" s="8"/>
      <c r="E35" s="8"/>
      <c r="F35" s="8"/>
      <c r="G35" s="8"/>
      <c r="H35" s="8"/>
      <c r="I35" s="8"/>
      <c r="J35" s="8"/>
      <c r="K35" s="8"/>
      <c r="L35" s="9"/>
    </row>
    <row r="36" spans="1:12" ht="15.75" thickBot="1" x14ac:dyDescent="0.3"/>
    <row r="37" spans="1:12" ht="15.75" thickBot="1" x14ac:dyDescent="0.3">
      <c r="A37" s="1" t="s">
        <v>232</v>
      </c>
      <c r="B37" s="2"/>
      <c r="C37" s="2"/>
      <c r="D37" s="2"/>
      <c r="E37" s="2"/>
      <c r="F37" s="3"/>
    </row>
    <row r="38" spans="1:12" ht="15.75" thickBot="1" x14ac:dyDescent="0.3">
      <c r="A38" s="4"/>
      <c r="B38" s="19" t="s">
        <v>236</v>
      </c>
      <c r="C38" s="26" t="s">
        <v>233</v>
      </c>
      <c r="F38" s="5"/>
    </row>
    <row r="39" spans="1:12" x14ac:dyDescent="0.25">
      <c r="A39" s="4"/>
      <c r="B39" s="20" t="s">
        <v>32</v>
      </c>
      <c r="C39" s="30">
        <v>67.75555555555556</v>
      </c>
      <c r="F39" s="5"/>
    </row>
    <row r="40" spans="1:12" x14ac:dyDescent="0.25">
      <c r="A40" s="4"/>
      <c r="B40" s="21" t="s">
        <v>23</v>
      </c>
      <c r="C40" s="31">
        <v>67.921052631578945</v>
      </c>
      <c r="F40" s="5"/>
    </row>
    <row r="41" spans="1:12" x14ac:dyDescent="0.25">
      <c r="A41" s="4"/>
      <c r="B41" s="21" t="s">
        <v>26</v>
      </c>
      <c r="C41" s="31">
        <v>70.2</v>
      </c>
      <c r="F41" s="5"/>
    </row>
    <row r="42" spans="1:12" x14ac:dyDescent="0.25">
      <c r="A42" s="4"/>
      <c r="B42" s="21" t="s">
        <v>12</v>
      </c>
      <c r="C42" s="31">
        <v>72.521739130434781</v>
      </c>
      <c r="F42" s="5"/>
    </row>
    <row r="43" spans="1:12" ht="15.75" thickBot="1" x14ac:dyDescent="0.3">
      <c r="A43" s="4"/>
      <c r="B43" s="22" t="s">
        <v>17</v>
      </c>
      <c r="C43" s="32">
        <v>73.243902439024396</v>
      </c>
      <c r="F43" s="5"/>
    </row>
    <row r="44" spans="1:12" x14ac:dyDescent="0.25">
      <c r="A44" s="4"/>
      <c r="F44" s="5"/>
    </row>
    <row r="45" spans="1:12" x14ac:dyDescent="0.25">
      <c r="A45" s="4"/>
      <c r="F45" s="5"/>
    </row>
    <row r="46" spans="1:12" x14ac:dyDescent="0.25">
      <c r="A46" s="4"/>
      <c r="F46" s="5"/>
    </row>
    <row r="47" spans="1:12" x14ac:dyDescent="0.25">
      <c r="A47" s="4"/>
      <c r="F47" s="5"/>
    </row>
    <row r="48" spans="1:12" ht="15.75" thickBot="1" x14ac:dyDescent="0.3">
      <c r="A48" s="7"/>
      <c r="B48" s="8"/>
      <c r="C48" s="8"/>
      <c r="D48" s="8"/>
      <c r="E48" s="8"/>
      <c r="F48" s="9"/>
    </row>
    <row r="50" spans="1:11" ht="15.75" thickBot="1" x14ac:dyDescent="0.3"/>
    <row r="51" spans="1:11" ht="15.75" thickBot="1" x14ac:dyDescent="0.3">
      <c r="A51" s="1" t="s">
        <v>232</v>
      </c>
      <c r="B51" s="2"/>
      <c r="C51" s="2"/>
      <c r="D51" s="2"/>
      <c r="E51" s="2"/>
      <c r="F51" s="2"/>
      <c r="G51" s="2"/>
      <c r="H51" s="2"/>
      <c r="I51" s="2"/>
      <c r="J51" s="2"/>
      <c r="K51" s="3"/>
    </row>
    <row r="52" spans="1:11" ht="15.75" thickBot="1" x14ac:dyDescent="0.3">
      <c r="A52" s="4"/>
      <c r="B52" s="19" t="s">
        <v>236</v>
      </c>
      <c r="C52" s="26" t="s">
        <v>233</v>
      </c>
      <c r="D52" s="34" t="s">
        <v>2</v>
      </c>
      <c r="E52" s="34" t="s">
        <v>237</v>
      </c>
      <c r="K52" s="5"/>
    </row>
    <row r="53" spans="1:11" x14ac:dyDescent="0.25">
      <c r="A53" s="4"/>
      <c r="B53" s="20" t="s">
        <v>16</v>
      </c>
      <c r="C53" s="30">
        <v>67.581818181818178</v>
      </c>
      <c r="D53" s="10" t="s">
        <v>16</v>
      </c>
      <c r="E53" s="6">
        <f>GETPIVOTDATA("Recovery Score",$B$52,"Treatment Type",B53)</f>
        <v>67.581818181818178</v>
      </c>
      <c r="K53" s="5"/>
    </row>
    <row r="54" spans="1:11" x14ac:dyDescent="0.25">
      <c r="A54" s="4"/>
      <c r="B54" s="21" t="s">
        <v>28</v>
      </c>
      <c r="C54" s="31">
        <v>70.021276595744681</v>
      </c>
      <c r="D54" s="10" t="s">
        <v>28</v>
      </c>
      <c r="E54" s="6">
        <f t="shared" ref="E54:E56" si="0">GETPIVOTDATA("Recovery Score",$B$52,"Treatment Type",B54)</f>
        <v>70.021276595744681</v>
      </c>
      <c r="K54" s="5"/>
    </row>
    <row r="55" spans="1:11" x14ac:dyDescent="0.25">
      <c r="A55" s="4"/>
      <c r="B55" s="21" t="s">
        <v>41</v>
      </c>
      <c r="C55" s="31">
        <v>73.291666666666671</v>
      </c>
      <c r="D55" s="10" t="s">
        <v>41</v>
      </c>
      <c r="E55" s="6">
        <f t="shared" si="0"/>
        <v>73.291666666666671</v>
      </c>
      <c r="K55" s="5"/>
    </row>
    <row r="56" spans="1:11" ht="15.75" thickBot="1" x14ac:dyDescent="0.3">
      <c r="A56" s="4"/>
      <c r="B56" s="22" t="s">
        <v>11</v>
      </c>
      <c r="C56" s="32">
        <v>70.98</v>
      </c>
      <c r="D56" s="10" t="s">
        <v>11</v>
      </c>
      <c r="E56">
        <f t="shared" si="0"/>
        <v>70.98</v>
      </c>
      <c r="K56" s="5"/>
    </row>
    <row r="57" spans="1:11" x14ac:dyDescent="0.25">
      <c r="A57" s="4"/>
      <c r="K57" s="5"/>
    </row>
    <row r="58" spans="1:11" x14ac:dyDescent="0.25">
      <c r="A58" s="4"/>
      <c r="K58" s="5"/>
    </row>
    <row r="59" spans="1:11" x14ac:dyDescent="0.25">
      <c r="A59" s="4"/>
      <c r="K59" s="5"/>
    </row>
    <row r="60" spans="1:11" x14ac:dyDescent="0.25">
      <c r="A60" s="4"/>
      <c r="K60" s="5"/>
    </row>
    <row r="61" spans="1:11" x14ac:dyDescent="0.25">
      <c r="A61" s="4"/>
      <c r="K61" s="5"/>
    </row>
    <row r="62" spans="1:11" x14ac:dyDescent="0.25">
      <c r="A62" s="4"/>
      <c r="K62" s="5"/>
    </row>
    <row r="63" spans="1:11" ht="15.75" thickBot="1" x14ac:dyDescent="0.3">
      <c r="A63" s="7"/>
      <c r="B63" s="8"/>
      <c r="C63" s="8"/>
      <c r="D63" s="8"/>
      <c r="E63" s="8"/>
      <c r="F63" s="8"/>
      <c r="G63" s="8"/>
      <c r="H63" s="8"/>
      <c r="I63" s="8"/>
      <c r="J63" s="8"/>
      <c r="K63" s="9"/>
    </row>
    <row r="64" spans="1:11" x14ac:dyDescent="0.25">
      <c r="A64" s="1" t="s">
        <v>232</v>
      </c>
      <c r="B64" s="2"/>
      <c r="C64" s="2"/>
      <c r="D64" s="2"/>
      <c r="E64" s="2"/>
      <c r="F64" s="3"/>
    </row>
    <row r="65" spans="1:7" ht="15.75" thickBot="1" x14ac:dyDescent="0.3">
      <c r="A65" s="4"/>
      <c r="B65" s="35" t="s">
        <v>236</v>
      </c>
      <c r="C65" s="33" t="s">
        <v>233</v>
      </c>
      <c r="F65" s="5"/>
    </row>
    <row r="66" spans="1:7" x14ac:dyDescent="0.25">
      <c r="A66" s="4"/>
      <c r="B66" s="21" t="s">
        <v>13</v>
      </c>
      <c r="C66" s="31">
        <v>71.614035087719301</v>
      </c>
      <c r="F66" s="5"/>
    </row>
    <row r="67" spans="1:7" x14ac:dyDescent="0.25">
      <c r="A67" s="4"/>
      <c r="B67" s="21" t="s">
        <v>18</v>
      </c>
      <c r="C67" s="31">
        <v>72.283950617283949</v>
      </c>
      <c r="F67" s="5"/>
    </row>
    <row r="68" spans="1:7" ht="15.75" thickBot="1" x14ac:dyDescent="0.3">
      <c r="A68" s="4"/>
      <c r="B68" s="22" t="s">
        <v>29</v>
      </c>
      <c r="C68" s="32">
        <v>66.741935483870961</v>
      </c>
      <c r="F68" s="5"/>
    </row>
    <row r="69" spans="1:7" x14ac:dyDescent="0.25">
      <c r="A69" s="4"/>
      <c r="F69" s="5"/>
    </row>
    <row r="70" spans="1:7" x14ac:dyDescent="0.25">
      <c r="A70" s="4"/>
      <c r="F70" s="5"/>
    </row>
    <row r="71" spans="1:7" x14ac:dyDescent="0.25">
      <c r="A71" s="4"/>
      <c r="F71" s="5"/>
    </row>
    <row r="72" spans="1:7" x14ac:dyDescent="0.25">
      <c r="A72" s="4"/>
      <c r="F72" s="5"/>
    </row>
    <row r="73" spans="1:7" x14ac:dyDescent="0.25">
      <c r="A73" s="4"/>
      <c r="F73" s="5"/>
    </row>
    <row r="74" spans="1:7" x14ac:dyDescent="0.25">
      <c r="A74" s="4"/>
      <c r="F74" s="5"/>
    </row>
    <row r="75" spans="1:7" x14ac:dyDescent="0.25">
      <c r="A75" s="4"/>
      <c r="F75" s="5"/>
    </row>
    <row r="76" spans="1:7" x14ac:dyDescent="0.25">
      <c r="A76" s="4"/>
      <c r="F76" s="5"/>
    </row>
    <row r="77" spans="1:7" ht="15.75" thickBot="1" x14ac:dyDescent="0.3">
      <c r="A77" s="7"/>
      <c r="B77" s="8"/>
      <c r="C77" s="8"/>
      <c r="D77" s="8"/>
      <c r="E77" s="8"/>
      <c r="F77" s="9"/>
    </row>
    <row r="79" spans="1:7" ht="15.75" thickBot="1" x14ac:dyDescent="0.3"/>
    <row r="80" spans="1:7" ht="15.75" thickBot="1" x14ac:dyDescent="0.3">
      <c r="A80" s="1" t="s">
        <v>232</v>
      </c>
      <c r="B80" s="2"/>
      <c r="C80" s="2"/>
      <c r="D80" s="2"/>
      <c r="E80" s="2"/>
      <c r="F80" s="2"/>
      <c r="G80" s="3"/>
    </row>
    <row r="81" spans="1:7" ht="15.75" thickBot="1" x14ac:dyDescent="0.3">
      <c r="A81" s="4"/>
      <c r="B81" s="19" t="s">
        <v>236</v>
      </c>
      <c r="C81" s="26" t="s">
        <v>233</v>
      </c>
      <c r="G81" s="5"/>
    </row>
    <row r="82" spans="1:7" x14ac:dyDescent="0.25">
      <c r="A82" s="4"/>
      <c r="B82" s="20" t="s">
        <v>239</v>
      </c>
      <c r="C82" s="30">
        <v>72.254716981132077</v>
      </c>
      <c r="G82" s="5"/>
    </row>
    <row r="83" spans="1:7" ht="15.75" thickBot="1" x14ac:dyDescent="0.3">
      <c r="A83" s="4"/>
      <c r="B83" s="22" t="s">
        <v>240</v>
      </c>
      <c r="C83" s="32">
        <v>68.255319148936167</v>
      </c>
      <c r="G83" s="5"/>
    </row>
    <row r="84" spans="1:7" x14ac:dyDescent="0.25">
      <c r="A84" s="4"/>
      <c r="G84" s="5"/>
    </row>
    <row r="85" spans="1:7" x14ac:dyDescent="0.25">
      <c r="A85" s="4"/>
      <c r="G85" s="5"/>
    </row>
    <row r="86" spans="1:7" x14ac:dyDescent="0.25">
      <c r="A86" s="4"/>
      <c r="G86" s="5"/>
    </row>
    <row r="87" spans="1:7" x14ac:dyDescent="0.25">
      <c r="A87" s="4"/>
      <c r="G87" s="5"/>
    </row>
    <row r="88" spans="1:7" x14ac:dyDescent="0.25">
      <c r="A88" s="4"/>
      <c r="G88" s="5"/>
    </row>
    <row r="89" spans="1:7" x14ac:dyDescent="0.25">
      <c r="A89" s="4"/>
      <c r="G89" s="5"/>
    </row>
    <row r="90" spans="1:7" x14ac:dyDescent="0.25">
      <c r="A90" s="4"/>
      <c r="G90" s="5"/>
    </row>
    <row r="91" spans="1:7" x14ac:dyDescent="0.25">
      <c r="A91" s="4"/>
      <c r="G91" s="5"/>
    </row>
    <row r="92" spans="1:7" x14ac:dyDescent="0.25">
      <c r="A92" s="4"/>
      <c r="G92" s="5"/>
    </row>
    <row r="93" spans="1:7" x14ac:dyDescent="0.25">
      <c r="A93" s="4"/>
      <c r="G93" s="5"/>
    </row>
    <row r="94" spans="1:7" ht="15.75" thickBot="1" x14ac:dyDescent="0.3">
      <c r="A94" s="7"/>
      <c r="B94" s="8"/>
      <c r="C94" s="8"/>
      <c r="D94" s="8"/>
      <c r="E94" s="8"/>
      <c r="F94" s="8"/>
      <c r="G94" s="9"/>
    </row>
    <row r="98" spans="1:6" x14ac:dyDescent="0.25">
      <c r="A98" s="27" t="s">
        <v>232</v>
      </c>
    </row>
    <row r="99" spans="1:6" x14ac:dyDescent="0.25">
      <c r="B99" s="37" t="s">
        <v>236</v>
      </c>
      <c r="C99" t="s">
        <v>233</v>
      </c>
      <c r="E99" s="27" t="s">
        <v>242</v>
      </c>
      <c r="F99" s="27" t="s">
        <v>233</v>
      </c>
    </row>
    <row r="100" spans="1:6" x14ac:dyDescent="0.25">
      <c r="B100" s="10" t="s">
        <v>243</v>
      </c>
      <c r="C100" s="6">
        <v>68.324324324324323</v>
      </c>
      <c r="E100" s="10" t="s">
        <v>243</v>
      </c>
      <c r="F100" s="6">
        <f>GETPIVOTDATA("Recovery Score",$B$99,"Aged Group",B100)</f>
        <v>68.324324324324323</v>
      </c>
    </row>
    <row r="101" spans="1:6" x14ac:dyDescent="0.25">
      <c r="B101" s="10" t="s">
        <v>244</v>
      </c>
      <c r="C101" s="6">
        <v>70.400000000000006</v>
      </c>
      <c r="E101" s="10" t="s">
        <v>244</v>
      </c>
      <c r="F101" s="6">
        <f t="shared" ref="F101:F108" si="1">GETPIVOTDATA("Recovery Score",$B$99,"Aged Group",B101)</f>
        <v>70.400000000000006</v>
      </c>
    </row>
    <row r="102" spans="1:6" x14ac:dyDescent="0.25">
      <c r="B102" s="10" t="s">
        <v>245</v>
      </c>
      <c r="C102" s="6">
        <v>72.222222222222229</v>
      </c>
      <c r="E102" s="10" t="s">
        <v>245</v>
      </c>
      <c r="F102" s="6">
        <f t="shared" si="1"/>
        <v>72.222222222222229</v>
      </c>
    </row>
    <row r="103" spans="1:6" x14ac:dyDescent="0.25">
      <c r="B103" s="10" t="s">
        <v>246</v>
      </c>
      <c r="C103" s="6">
        <v>72.342857142857142</v>
      </c>
      <c r="E103" s="10" t="s">
        <v>246</v>
      </c>
      <c r="F103" s="6">
        <f t="shared" si="1"/>
        <v>72.342857142857142</v>
      </c>
    </row>
    <row r="104" spans="1:6" x14ac:dyDescent="0.25">
      <c r="B104" s="10" t="s">
        <v>247</v>
      </c>
      <c r="C104" s="6">
        <v>68.242424242424249</v>
      </c>
      <c r="E104" s="10" t="s">
        <v>247</v>
      </c>
      <c r="F104" s="6">
        <f t="shared" si="1"/>
        <v>68.242424242424249</v>
      </c>
    </row>
    <row r="105" spans="1:6" x14ac:dyDescent="0.25">
      <c r="B105" s="10" t="s">
        <v>248</v>
      </c>
      <c r="C105" s="6">
        <v>74.125</v>
      </c>
      <c r="E105" s="10" t="s">
        <v>248</v>
      </c>
      <c r="F105" s="6">
        <f t="shared" si="1"/>
        <v>74.125</v>
      </c>
    </row>
    <row r="106" spans="1:6" x14ac:dyDescent="0.25">
      <c r="B106" s="10" t="s">
        <v>249</v>
      </c>
      <c r="C106" s="6">
        <v>71.099999999999994</v>
      </c>
      <c r="E106" s="10" t="s">
        <v>249</v>
      </c>
      <c r="F106" s="6">
        <f t="shared" si="1"/>
        <v>71.099999999999994</v>
      </c>
    </row>
    <row r="107" spans="1:6" x14ac:dyDescent="0.25">
      <c r="B107" s="10" t="s">
        <v>250</v>
      </c>
      <c r="C107" s="6">
        <v>67.230769230769226</v>
      </c>
      <c r="E107" s="10" t="s">
        <v>250</v>
      </c>
      <c r="F107" s="6">
        <f t="shared" si="1"/>
        <v>67.230769230769226</v>
      </c>
    </row>
    <row r="108" spans="1:6" x14ac:dyDescent="0.25">
      <c r="B108" s="10" t="s">
        <v>251</v>
      </c>
      <c r="C108" s="6">
        <v>71.333333333333329</v>
      </c>
      <c r="E108" s="10" t="s">
        <v>251</v>
      </c>
      <c r="F108" s="6">
        <f t="shared" si="1"/>
        <v>71.333333333333329</v>
      </c>
    </row>
  </sheetData>
  <pageMargins left="0.7" right="0.7" top="0.75" bottom="0.75" header="0.3" footer="0.3"/>
  <pageSetup paperSize="9" orientation="portrait" r:id="rId8"/>
  <drawing r:id="rId9"/>
  <extLst>
    <ext xmlns:x14="http://schemas.microsoft.com/office/spreadsheetml/2009/9/main" uri="{A8765BA9-456A-4dab-B4F3-ACF838C121DE}">
      <x14:slicerList>
        <x14:slicer r:id="rId1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C693-85B6-4A76-B13F-CEA8963AADA6}">
  <sheetPr>
    <tabColor rgb="FF1C544A"/>
  </sheetPr>
  <dimension ref="AG11:AO38"/>
  <sheetViews>
    <sheetView showGridLines="0" tabSelected="1" zoomScale="52" zoomScaleNormal="52" workbookViewId="0">
      <selection activeCell="AP51" sqref="AP51"/>
    </sheetView>
  </sheetViews>
  <sheetFormatPr defaultRowHeight="15" x14ac:dyDescent="0.25"/>
  <cols>
    <col min="1" max="16384" width="9.140625" style="36"/>
  </cols>
  <sheetData>
    <row r="11" spans="33:33" x14ac:dyDescent="0.25">
      <c r="AG11" s="36" t="s">
        <v>241</v>
      </c>
    </row>
    <row r="22" spans="41:41" x14ac:dyDescent="0.25">
      <c r="AO22" s="36" t="s">
        <v>241</v>
      </c>
    </row>
    <row r="24" spans="41:41" x14ac:dyDescent="0.25">
      <c r="AO24" s="36" t="s">
        <v>241</v>
      </c>
    </row>
    <row r="38" spans="39:39" x14ac:dyDescent="0.25">
      <c r="AM38" s="36" t="s">
        <v>241</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C81BFD3-C92F-45E4-86E9-C330CA3D6B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hospital_patient_treatment_data</vt:lpstr>
      <vt:lpstr>Design_Sheet</vt:lpstr>
      <vt:lpstr>Hospital_Patient_Report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Brishti Sutradhar</dc:creator>
  <cp:lastModifiedBy>Brishti Sutradhar</cp:lastModifiedBy>
  <dcterms:created xsi:type="dcterms:W3CDTF">2026-02-08T22:42:03Z</dcterms:created>
  <dcterms:modified xsi:type="dcterms:W3CDTF">2026-02-17T11:01:10Z</dcterms:modified>
</cp:coreProperties>
</file>